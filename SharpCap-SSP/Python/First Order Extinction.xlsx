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D:\working\waccache\AK1PEPF000001FB\EXCELCNV\fe0d6519-fad7-4b84-932a-d57717e5b05f\"/>
    </mc:Choice>
  </mc:AlternateContent>
  <xr:revisionPtr revIDLastSave="50" documentId="8_{B0AAA64B-F7C1-4821-A871-87597F64F2A2}" xr6:coauthVersionLast="47" xr6:coauthVersionMax="47" xr10:uidLastSave="{8E26F508-E56E-4D04-8B41-40FDD8695DAE}"/>
  <bookViews>
    <workbookView xWindow="-60" yWindow="-60" windowWidth="15480" windowHeight="11640" tabRatio="439" firstSheet="2" xr2:uid="{CC6D3125-7895-440C-A58D-2567948099A7}"/>
  </bookViews>
  <sheets>
    <sheet name="Data Entry-V" sheetId="6" r:id="rId1"/>
    <sheet name="Data Entry-B" sheetId="1" r:id="rId2"/>
    <sheet name="Stars" sheetId="2" r:id="rId3"/>
    <sheet name="Airmass-V" sheetId="7" state="hidden" r:id="rId4"/>
    <sheet name="Airmass-B" sheetId="5" state="hidden" r:id="rId5"/>
    <sheet name="Read me" sheetId="3" r:id="rId6"/>
  </sheets>
  <definedNames>
    <definedName name="_xlnm._FilterDatabase" localSheetId="3" hidden="1">'Airmass-V'!$A$1:$D$6</definedName>
    <definedName name="_xlnm._FilterDatabase" localSheetId="2" hidden="1">Stars!$A$1:$AE$171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1" l="1"/>
  <c r="L24" i="1"/>
  <c r="L23" i="1"/>
  <c r="L22" i="1"/>
  <c r="L21" i="1"/>
  <c r="L20" i="1"/>
  <c r="L19" i="1"/>
  <c r="L18" i="1"/>
  <c r="L17" i="1"/>
  <c r="L16" i="1"/>
  <c r="F9" i="6"/>
  <c r="F8" i="6"/>
  <c r="G95" i="2"/>
  <c r="H95" i="2"/>
  <c r="L95" i="2"/>
  <c r="I95" i="2"/>
  <c r="G96" i="2"/>
  <c r="H96" i="2"/>
  <c r="L96" i="2"/>
  <c r="I96" i="2"/>
  <c r="G74" i="2"/>
  <c r="H74" i="2"/>
  <c r="L74" i="2"/>
  <c r="I74" i="2"/>
  <c r="G85" i="2"/>
  <c r="H85" i="2"/>
  <c r="L85" i="2"/>
  <c r="I85" i="2"/>
  <c r="G97" i="2"/>
  <c r="H97" i="2"/>
  <c r="L97" i="2"/>
  <c r="I97" i="2"/>
  <c r="G90" i="2"/>
  <c r="H90" i="2"/>
  <c r="L90" i="2"/>
  <c r="I90" i="2"/>
  <c r="G87" i="2"/>
  <c r="H87" i="2"/>
  <c r="L87" i="2"/>
  <c r="I87" i="2"/>
  <c r="G63" i="2"/>
  <c r="I63" i="2"/>
  <c r="G91" i="2"/>
  <c r="I91" i="2"/>
  <c r="G98" i="2"/>
  <c r="H98" i="2"/>
  <c r="L98" i="2"/>
  <c r="I98" i="2"/>
  <c r="K98" i="2"/>
  <c r="G69" i="2"/>
  <c r="H69" i="2"/>
  <c r="L69" i="2"/>
  <c r="I69" i="2"/>
  <c r="G99" i="2"/>
  <c r="H99" i="2"/>
  <c r="L99" i="2"/>
  <c r="I99" i="2"/>
  <c r="G100" i="2"/>
  <c r="H100" i="2"/>
  <c r="L100" i="2"/>
  <c r="I100" i="2"/>
  <c r="G101" i="2"/>
  <c r="H101" i="2"/>
  <c r="L101" i="2"/>
  <c r="I101" i="2"/>
  <c r="G102" i="2"/>
  <c r="H102" i="2"/>
  <c r="L102" i="2"/>
  <c r="I102" i="2"/>
  <c r="J102" i="2"/>
  <c r="P102" i="2"/>
  <c r="G60" i="2"/>
  <c r="H60" i="2"/>
  <c r="L60" i="2"/>
  <c r="I60" i="2"/>
  <c r="G54" i="2"/>
  <c r="H54" i="2"/>
  <c r="L54" i="2"/>
  <c r="I54" i="2"/>
  <c r="G36" i="2"/>
  <c r="I36" i="2"/>
  <c r="G39" i="2"/>
  <c r="I39" i="2"/>
  <c r="G41" i="2"/>
  <c r="J41" i="2"/>
  <c r="I41" i="2"/>
  <c r="G24" i="2"/>
  <c r="J24" i="2"/>
  <c r="I24" i="2"/>
  <c r="G33" i="2"/>
  <c r="I33" i="2"/>
  <c r="G27" i="2"/>
  <c r="H27" i="2"/>
  <c r="L27" i="2"/>
  <c r="I27" i="2"/>
  <c r="G66" i="2"/>
  <c r="J66" i="2"/>
  <c r="P66" i="2"/>
  <c r="I66" i="2"/>
  <c r="G22" i="2"/>
  <c r="J22" i="2"/>
  <c r="P22" i="2"/>
  <c r="I22" i="2"/>
  <c r="K22" i="2"/>
  <c r="G26" i="2"/>
  <c r="J26" i="2"/>
  <c r="I26" i="2"/>
  <c r="G103" i="2"/>
  <c r="K103" i="2"/>
  <c r="I103" i="2"/>
  <c r="G104" i="2"/>
  <c r="H104" i="2"/>
  <c r="L104" i="2"/>
  <c r="I104" i="2"/>
  <c r="J104" i="2"/>
  <c r="Q104" i="2"/>
  <c r="G38" i="2"/>
  <c r="J38" i="2"/>
  <c r="Q38" i="2"/>
  <c r="I38" i="2"/>
  <c r="K38" i="2"/>
  <c r="G35" i="2"/>
  <c r="J35" i="2"/>
  <c r="I35" i="2"/>
  <c r="G43" i="2"/>
  <c r="K43" i="2"/>
  <c r="I43" i="2"/>
  <c r="G105" i="2"/>
  <c r="K105" i="2"/>
  <c r="I105" i="2"/>
  <c r="G37" i="2"/>
  <c r="H37" i="2"/>
  <c r="L37" i="2"/>
  <c r="I37" i="2"/>
  <c r="G34" i="2"/>
  <c r="J34" i="2"/>
  <c r="I34" i="2"/>
  <c r="G42" i="2"/>
  <c r="J42" i="2"/>
  <c r="I42" i="2"/>
  <c r="G106" i="2"/>
  <c r="H106" i="2"/>
  <c r="L106" i="2"/>
  <c r="I106" i="2"/>
  <c r="G107" i="2"/>
  <c r="H107" i="2"/>
  <c r="L107" i="2"/>
  <c r="I107" i="2"/>
  <c r="G108" i="2"/>
  <c r="J108" i="2"/>
  <c r="P108" i="2"/>
  <c r="I108" i="2"/>
  <c r="G73" i="2"/>
  <c r="J73" i="2"/>
  <c r="O73" i="2"/>
  <c r="I73" i="2"/>
  <c r="K73" i="2"/>
  <c r="G51" i="2"/>
  <c r="J51" i="2"/>
  <c r="O51" i="2"/>
  <c r="I51" i="2"/>
  <c r="K51" i="2"/>
  <c r="G109" i="2"/>
  <c r="H109" i="2"/>
  <c r="L109" i="2"/>
  <c r="I109" i="2"/>
  <c r="K109" i="2"/>
  <c r="G55" i="2"/>
  <c r="J55" i="2"/>
  <c r="I55" i="2"/>
  <c r="G64" i="2"/>
  <c r="K64" i="2"/>
  <c r="I64" i="2"/>
  <c r="G77" i="2"/>
  <c r="J77" i="2"/>
  <c r="O77" i="2"/>
  <c r="I77" i="2"/>
  <c r="G62" i="2"/>
  <c r="J62" i="2"/>
  <c r="P62" i="2"/>
  <c r="I62" i="2"/>
  <c r="G58" i="2"/>
  <c r="H58" i="2"/>
  <c r="I58" i="2"/>
  <c r="G67" i="2"/>
  <c r="J67" i="2"/>
  <c r="O67" i="2"/>
  <c r="I67" i="2"/>
  <c r="K67" i="2"/>
  <c r="G110" i="2"/>
  <c r="H110" i="2"/>
  <c r="L110" i="2"/>
  <c r="I110" i="2"/>
  <c r="K110" i="2"/>
  <c r="G72" i="2"/>
  <c r="K72" i="2"/>
  <c r="I72" i="2"/>
  <c r="G111" i="2"/>
  <c r="J111" i="2"/>
  <c r="P111" i="2"/>
  <c r="H111" i="2"/>
  <c r="L111" i="2"/>
  <c r="I111" i="2"/>
  <c r="G112" i="2"/>
  <c r="H112" i="2"/>
  <c r="L112" i="2"/>
  <c r="I112" i="2"/>
  <c r="G113" i="2"/>
  <c r="J113" i="2"/>
  <c r="H113" i="2"/>
  <c r="L113" i="2"/>
  <c r="I113" i="2"/>
  <c r="G114" i="2"/>
  <c r="H114" i="2"/>
  <c r="J114" i="2"/>
  <c r="I114" i="2"/>
  <c r="G115" i="2"/>
  <c r="H115" i="2"/>
  <c r="L115" i="2"/>
  <c r="I115" i="2"/>
  <c r="J115" i="2"/>
  <c r="P115" i="2"/>
  <c r="G116" i="2"/>
  <c r="J116" i="2"/>
  <c r="Q116" i="2"/>
  <c r="I116" i="2"/>
  <c r="G117" i="2"/>
  <c r="J117" i="2"/>
  <c r="I117" i="2"/>
  <c r="G118" i="2"/>
  <c r="H118" i="2"/>
  <c r="L118" i="2"/>
  <c r="I118" i="2"/>
  <c r="J118" i="2"/>
  <c r="O118" i="2"/>
  <c r="K118" i="2"/>
  <c r="M118" i="2"/>
  <c r="N118" i="2"/>
  <c r="G119" i="2"/>
  <c r="H119" i="2"/>
  <c r="L119" i="2"/>
  <c r="I119" i="2"/>
  <c r="G120" i="2"/>
  <c r="H120" i="2"/>
  <c r="L120" i="2"/>
  <c r="I120" i="2"/>
  <c r="G121" i="2"/>
  <c r="H121" i="2"/>
  <c r="L121" i="2"/>
  <c r="I121" i="2"/>
  <c r="G122" i="2"/>
  <c r="H122" i="2"/>
  <c r="L122" i="2"/>
  <c r="I122" i="2"/>
  <c r="G123" i="2"/>
  <c r="H123" i="2"/>
  <c r="L123" i="2"/>
  <c r="I123" i="2"/>
  <c r="G124" i="2"/>
  <c r="H124" i="2"/>
  <c r="L124" i="2"/>
  <c r="I124" i="2"/>
  <c r="G125" i="2"/>
  <c r="H125" i="2"/>
  <c r="L125" i="2"/>
  <c r="I125" i="2"/>
  <c r="J125" i="2"/>
  <c r="G126" i="2"/>
  <c r="H126" i="2"/>
  <c r="L126" i="2"/>
  <c r="I126" i="2"/>
  <c r="G127" i="2"/>
  <c r="H127" i="2"/>
  <c r="L127" i="2"/>
  <c r="I127" i="2"/>
  <c r="G128" i="2"/>
  <c r="H128" i="2"/>
  <c r="L128" i="2"/>
  <c r="I128" i="2"/>
  <c r="G129" i="2"/>
  <c r="H129" i="2"/>
  <c r="L129" i="2"/>
  <c r="I129" i="2"/>
  <c r="G130" i="2"/>
  <c r="H130" i="2"/>
  <c r="L130" i="2"/>
  <c r="I130" i="2"/>
  <c r="G131" i="2"/>
  <c r="H131" i="2"/>
  <c r="L131" i="2"/>
  <c r="I131" i="2"/>
  <c r="K131" i="2"/>
  <c r="G132" i="2"/>
  <c r="H132" i="2"/>
  <c r="L132" i="2"/>
  <c r="I132" i="2"/>
  <c r="G133" i="2"/>
  <c r="H133" i="2"/>
  <c r="L133" i="2"/>
  <c r="I133" i="2"/>
  <c r="G134" i="2"/>
  <c r="H134" i="2"/>
  <c r="L134" i="2"/>
  <c r="I134" i="2"/>
  <c r="G135" i="2"/>
  <c r="H135" i="2"/>
  <c r="L135" i="2"/>
  <c r="I135" i="2"/>
  <c r="G136" i="2"/>
  <c r="H136" i="2"/>
  <c r="L136" i="2"/>
  <c r="I136" i="2"/>
  <c r="G137" i="2"/>
  <c r="I137" i="2"/>
  <c r="G138" i="2"/>
  <c r="I138" i="2"/>
  <c r="G139" i="2"/>
  <c r="I139" i="2"/>
  <c r="G140" i="2"/>
  <c r="I140" i="2"/>
  <c r="G141" i="2"/>
  <c r="I141" i="2"/>
  <c r="G142" i="2"/>
  <c r="I142" i="2"/>
  <c r="G143" i="2"/>
  <c r="I143" i="2"/>
  <c r="G144" i="2"/>
  <c r="I144" i="2"/>
  <c r="G145" i="2"/>
  <c r="I145" i="2"/>
  <c r="G146" i="2"/>
  <c r="I146" i="2"/>
  <c r="G147" i="2"/>
  <c r="I147" i="2"/>
  <c r="G148" i="2"/>
  <c r="I148" i="2"/>
  <c r="G149" i="2"/>
  <c r="H149" i="2"/>
  <c r="L149" i="2"/>
  <c r="I149" i="2"/>
  <c r="G150" i="2"/>
  <c r="H150" i="2"/>
  <c r="L150" i="2"/>
  <c r="I150" i="2"/>
  <c r="G151" i="2"/>
  <c r="H151" i="2"/>
  <c r="L151" i="2"/>
  <c r="I151" i="2"/>
  <c r="G152" i="2"/>
  <c r="K152" i="2"/>
  <c r="H152" i="2"/>
  <c r="L152" i="2"/>
  <c r="I152" i="2"/>
  <c r="G93" i="2"/>
  <c r="H93" i="2"/>
  <c r="L93" i="2"/>
  <c r="I93" i="2"/>
  <c r="G153" i="2"/>
  <c r="H153" i="2"/>
  <c r="L153" i="2"/>
  <c r="I153" i="2"/>
  <c r="G88" i="2"/>
  <c r="H88" i="2"/>
  <c r="L88" i="2"/>
  <c r="I88" i="2"/>
  <c r="J88" i="2"/>
  <c r="P88" i="2"/>
  <c r="G86" i="2"/>
  <c r="H86" i="2"/>
  <c r="L86" i="2"/>
  <c r="I86" i="2"/>
  <c r="J86" i="2"/>
  <c r="P86" i="2"/>
  <c r="G81" i="2"/>
  <c r="H81" i="2"/>
  <c r="L81" i="2"/>
  <c r="I81" i="2"/>
  <c r="G52" i="2"/>
  <c r="H52" i="2"/>
  <c r="L52" i="2"/>
  <c r="I52" i="2"/>
  <c r="G45" i="2"/>
  <c r="H45" i="2"/>
  <c r="L45" i="2"/>
  <c r="I45" i="2"/>
  <c r="G57" i="2"/>
  <c r="H57" i="2"/>
  <c r="L57" i="2"/>
  <c r="I57" i="2"/>
  <c r="G29" i="2"/>
  <c r="H29" i="2"/>
  <c r="L29" i="2"/>
  <c r="I29" i="2"/>
  <c r="G59" i="2"/>
  <c r="H59" i="2"/>
  <c r="L59" i="2"/>
  <c r="I59" i="2"/>
  <c r="G49" i="2"/>
  <c r="K49" i="2"/>
  <c r="I49" i="2"/>
  <c r="G53" i="2"/>
  <c r="I53" i="2"/>
  <c r="G28" i="2"/>
  <c r="K28" i="2"/>
  <c r="I28" i="2"/>
  <c r="G40" i="2"/>
  <c r="I40" i="2"/>
  <c r="G11" i="2"/>
  <c r="K11" i="2"/>
  <c r="I11" i="2"/>
  <c r="G25" i="2"/>
  <c r="I25" i="2"/>
  <c r="G23" i="2"/>
  <c r="K23" i="2"/>
  <c r="I23" i="2"/>
  <c r="G46" i="2"/>
  <c r="I46" i="2"/>
  <c r="G44" i="2"/>
  <c r="K44" i="2"/>
  <c r="I44" i="2"/>
  <c r="G14" i="2"/>
  <c r="I14" i="2"/>
  <c r="G20" i="2"/>
  <c r="K20" i="2"/>
  <c r="I20" i="2"/>
  <c r="G18" i="2"/>
  <c r="I18" i="2"/>
  <c r="G17" i="2"/>
  <c r="K17" i="2"/>
  <c r="I17" i="2"/>
  <c r="G3" i="2"/>
  <c r="I3" i="2"/>
  <c r="G2" i="2"/>
  <c r="K2" i="2"/>
  <c r="I2" i="2"/>
  <c r="G12" i="2"/>
  <c r="I12" i="2"/>
  <c r="G7" i="2"/>
  <c r="J7" i="2"/>
  <c r="I7" i="2"/>
  <c r="G6" i="2"/>
  <c r="K6" i="2"/>
  <c r="I6" i="2"/>
  <c r="G10" i="2"/>
  <c r="K10" i="2"/>
  <c r="I10" i="2"/>
  <c r="G5" i="2"/>
  <c r="H5" i="2"/>
  <c r="I5" i="2"/>
  <c r="G8" i="2"/>
  <c r="J8" i="2"/>
  <c r="I8" i="2"/>
  <c r="G16" i="2"/>
  <c r="K16" i="2"/>
  <c r="J16" i="2"/>
  <c r="I16" i="2"/>
  <c r="G13" i="2"/>
  <c r="I13" i="2"/>
  <c r="G9" i="2"/>
  <c r="I9" i="2"/>
  <c r="G4" i="2"/>
  <c r="J4" i="2"/>
  <c r="P4" i="2"/>
  <c r="O4" i="2"/>
  <c r="I4" i="2"/>
  <c r="G31" i="2"/>
  <c r="J31" i="2"/>
  <c r="I31" i="2"/>
  <c r="G21" i="2"/>
  <c r="H21" i="2"/>
  <c r="I21" i="2"/>
  <c r="G50" i="2"/>
  <c r="K50" i="2"/>
  <c r="I50" i="2"/>
  <c r="G15" i="2"/>
  <c r="J15" i="2"/>
  <c r="O15" i="2"/>
  <c r="I15" i="2"/>
  <c r="G48" i="2"/>
  <c r="I48" i="2"/>
  <c r="G19" i="2"/>
  <c r="I19" i="2"/>
  <c r="G32" i="2"/>
  <c r="I32" i="2"/>
  <c r="G30" i="2"/>
  <c r="J30" i="2"/>
  <c r="Q30" i="2"/>
  <c r="I30" i="2"/>
  <c r="G68" i="2"/>
  <c r="H68" i="2"/>
  <c r="I68" i="2"/>
  <c r="G61" i="2"/>
  <c r="I61" i="2"/>
  <c r="G76" i="2"/>
  <c r="H76" i="2"/>
  <c r="I76" i="2"/>
  <c r="G70" i="2"/>
  <c r="J70" i="2"/>
  <c r="I70" i="2"/>
  <c r="G79" i="2"/>
  <c r="J79" i="2"/>
  <c r="I79" i="2"/>
  <c r="G47" i="2"/>
  <c r="H47" i="2"/>
  <c r="I47" i="2"/>
  <c r="G56" i="2"/>
  <c r="I56" i="2"/>
  <c r="G75" i="2"/>
  <c r="J75" i="2"/>
  <c r="I75" i="2"/>
  <c r="G154" i="2"/>
  <c r="H154" i="2"/>
  <c r="J154" i="2"/>
  <c r="I154" i="2"/>
  <c r="G155" i="2"/>
  <c r="I155" i="2"/>
  <c r="G156" i="2"/>
  <c r="I156" i="2"/>
  <c r="G157" i="2"/>
  <c r="J157" i="2"/>
  <c r="P157" i="2"/>
  <c r="I157" i="2"/>
  <c r="G158" i="2"/>
  <c r="I158" i="2"/>
  <c r="G159" i="2"/>
  <c r="H159" i="2"/>
  <c r="I159" i="2"/>
  <c r="G160" i="2"/>
  <c r="I160" i="2"/>
  <c r="G161" i="2"/>
  <c r="J161" i="2"/>
  <c r="I161" i="2"/>
  <c r="G162" i="2"/>
  <c r="J162" i="2"/>
  <c r="Q162" i="2"/>
  <c r="I162" i="2"/>
  <c r="G163" i="2"/>
  <c r="I163" i="2"/>
  <c r="G164" i="2"/>
  <c r="J164" i="2"/>
  <c r="O164" i="2"/>
  <c r="I164" i="2"/>
  <c r="G165" i="2"/>
  <c r="J165" i="2"/>
  <c r="I165" i="2"/>
  <c r="G166" i="2"/>
  <c r="J166" i="2"/>
  <c r="I166" i="2"/>
  <c r="G167" i="2"/>
  <c r="K167" i="2"/>
  <c r="J167" i="2"/>
  <c r="O167" i="2"/>
  <c r="I167" i="2"/>
  <c r="G168" i="2"/>
  <c r="J168" i="2"/>
  <c r="O168" i="2"/>
  <c r="I168" i="2"/>
  <c r="G169" i="2"/>
  <c r="J169" i="2"/>
  <c r="I169" i="2"/>
  <c r="G170" i="2"/>
  <c r="J170" i="2"/>
  <c r="I170" i="2"/>
  <c r="G171" i="2"/>
  <c r="K171" i="2"/>
  <c r="J171" i="2"/>
  <c r="O171" i="2"/>
  <c r="I171" i="2"/>
  <c r="G92" i="2"/>
  <c r="J92" i="2"/>
  <c r="I92" i="2"/>
  <c r="G82" i="2"/>
  <c r="J82" i="2"/>
  <c r="I82" i="2"/>
  <c r="G89" i="2"/>
  <c r="J89" i="2"/>
  <c r="I89" i="2"/>
  <c r="G84" i="2"/>
  <c r="K84" i="2"/>
  <c r="J84" i="2"/>
  <c r="O84" i="2"/>
  <c r="I84" i="2"/>
  <c r="G83" i="2"/>
  <c r="J83" i="2"/>
  <c r="I83" i="2"/>
  <c r="G65" i="2"/>
  <c r="J65" i="2"/>
  <c r="I65" i="2"/>
  <c r="G80" i="2"/>
  <c r="J80" i="2"/>
  <c r="I80" i="2"/>
  <c r="G71" i="2"/>
  <c r="J71" i="2"/>
  <c r="O71" i="2"/>
  <c r="I71" i="2"/>
  <c r="G78" i="2"/>
  <c r="J78" i="2"/>
  <c r="I78" i="2"/>
  <c r="I94" i="2"/>
  <c r="G94" i="2"/>
  <c r="H94" i="2"/>
  <c r="L94" i="2"/>
  <c r="E40" i="2"/>
  <c r="E16" i="6"/>
  <c r="E17" i="6"/>
  <c r="E18" i="6"/>
  <c r="E19" i="6"/>
  <c r="E20" i="6"/>
  <c r="E21" i="6"/>
  <c r="E22" i="6"/>
  <c r="E23" i="6"/>
  <c r="E24" i="6"/>
  <c r="E25" i="6"/>
  <c r="P67" i="2"/>
  <c r="K116" i="2"/>
  <c r="L114" i="2"/>
  <c r="H77" i="2"/>
  <c r="L77" i="2"/>
  <c r="K74" i="2"/>
  <c r="J98" i="2"/>
  <c r="O98" i="2"/>
  <c r="P98" i="2"/>
  <c r="J81" i="2"/>
  <c r="P81" i="2"/>
  <c r="P118" i="2"/>
  <c r="R118" i="2"/>
  <c r="K113" i="2"/>
  <c r="M113" i="2" s="1"/>
  <c r="N113" i="2" s="1"/>
  <c r="K112" i="2"/>
  <c r="M112" i="2"/>
  <c r="N112" i="2"/>
  <c r="M110" i="2"/>
  <c r="N110" i="2"/>
  <c r="K62" i="2"/>
  <c r="K77" i="2"/>
  <c r="M77" i="2" s="1"/>
  <c r="N77" i="2" s="1"/>
  <c r="K27" i="2"/>
  <c r="J60" i="2"/>
  <c r="O60" i="2"/>
  <c r="K121" i="2"/>
  <c r="M121" i="2"/>
  <c r="J112" i="2"/>
  <c r="O112" i="2"/>
  <c r="K111" i="2"/>
  <c r="M111" i="2"/>
  <c r="K58" i="2"/>
  <c r="H51" i="2"/>
  <c r="L51" i="2"/>
  <c r="M51" i="2"/>
  <c r="N51" i="2"/>
  <c r="K37" i="2"/>
  <c r="K66" i="2"/>
  <c r="J27" i="2"/>
  <c r="P27" i="2"/>
  <c r="O116" i="2"/>
  <c r="P116" i="2"/>
  <c r="O114" i="2"/>
  <c r="P114" i="2"/>
  <c r="P73" i="2"/>
  <c r="K151" i="2"/>
  <c r="M151" i="2"/>
  <c r="N151" i="2"/>
  <c r="K129" i="2"/>
  <c r="K55" i="2"/>
  <c r="J54" i="2"/>
  <c r="J100" i="2"/>
  <c r="P100" i="2"/>
  <c r="M98" i="2"/>
  <c r="N98" i="2"/>
  <c r="K87" i="2"/>
  <c r="M87" i="2"/>
  <c r="N87" i="2"/>
  <c r="O86" i="2"/>
  <c r="R86" i="2"/>
  <c r="O88" i="2"/>
  <c r="R88" i="2"/>
  <c r="M152" i="2"/>
  <c r="N152" i="2"/>
  <c r="J149" i="2"/>
  <c r="O149" i="2"/>
  <c r="J130" i="2"/>
  <c r="J129" i="2"/>
  <c r="P129" i="2"/>
  <c r="H116" i="2"/>
  <c r="L116" i="2"/>
  <c r="L58" i="2"/>
  <c r="M58" i="2" s="1"/>
  <c r="N58" i="2" s="1"/>
  <c r="H73" i="2"/>
  <c r="L73" i="2"/>
  <c r="J105" i="2"/>
  <c r="H38" i="2"/>
  <c r="L38" i="2"/>
  <c r="K26" i="2"/>
  <c r="H22" i="2"/>
  <c r="L22" i="2"/>
  <c r="J101" i="2"/>
  <c r="P101" i="2"/>
  <c r="J69" i="2"/>
  <c r="O69" i="2"/>
  <c r="P69" i="2"/>
  <c r="N111" i="2"/>
  <c r="K85" i="2"/>
  <c r="O62" i="2"/>
  <c r="Q62" i="2"/>
  <c r="O55" i="2"/>
  <c r="P55" i="2"/>
  <c r="Q169" i="2"/>
  <c r="Q165" i="2"/>
  <c r="M109" i="2"/>
  <c r="N109" i="2"/>
  <c r="Q82" i="2"/>
  <c r="Q67" i="2"/>
  <c r="H62" i="2"/>
  <c r="L62" i="2"/>
  <c r="H55" i="2"/>
  <c r="L55" i="2"/>
  <c r="J109" i="2"/>
  <c r="P51" i="2"/>
  <c r="R51" i="2"/>
  <c r="K108" i="2"/>
  <c r="K34" i="2"/>
  <c r="K35" i="2"/>
  <c r="O38" i="2"/>
  <c r="K104" i="2"/>
  <c r="H66" i="2"/>
  <c r="L66" i="2"/>
  <c r="O102" i="2"/>
  <c r="R102" i="2"/>
  <c r="O100" i="2"/>
  <c r="R100" i="2"/>
  <c r="J52" i="2"/>
  <c r="N121" i="2"/>
  <c r="M131" i="2"/>
  <c r="N131" i="2"/>
  <c r="K125" i="2"/>
  <c r="M125" i="2"/>
  <c r="N125" i="2"/>
  <c r="J122" i="2"/>
  <c r="J121" i="2"/>
  <c r="Q118" i="2"/>
  <c r="S118" i="2" s="1"/>
  <c r="Q114" i="2"/>
  <c r="Q73" i="2"/>
  <c r="H108" i="2"/>
  <c r="L108" i="2"/>
  <c r="M108" i="2"/>
  <c r="N108" i="2"/>
  <c r="H34" i="2"/>
  <c r="L34" i="2"/>
  <c r="M34" i="2"/>
  <c r="N34" i="2"/>
  <c r="H35" i="2"/>
  <c r="L35" i="2"/>
  <c r="K99" i="2"/>
  <c r="M99" i="2"/>
  <c r="N99" i="2"/>
  <c r="R69" i="2"/>
  <c r="K97" i="2"/>
  <c r="M97" i="2"/>
  <c r="N97" i="2"/>
  <c r="M85" i="2"/>
  <c r="N85" i="2"/>
  <c r="J74" i="2"/>
  <c r="P74" i="2"/>
  <c r="K96" i="2"/>
  <c r="M96" i="2"/>
  <c r="N96" i="2"/>
  <c r="K95" i="2"/>
  <c r="M95" i="2"/>
  <c r="N95" i="2"/>
  <c r="J93" i="2"/>
  <c r="O93" i="2"/>
  <c r="J152" i="2"/>
  <c r="P152" i="2"/>
  <c r="M129" i="2"/>
  <c r="N129" i="2"/>
  <c r="J126" i="2"/>
  <c r="O104" i="2"/>
  <c r="J99" i="2"/>
  <c r="Q99" i="2"/>
  <c r="K69" i="2"/>
  <c r="M69" i="2"/>
  <c r="N69" i="2"/>
  <c r="R98" i="2"/>
  <c r="K90" i="2"/>
  <c r="M90" i="2"/>
  <c r="N90" i="2"/>
  <c r="M74" i="2"/>
  <c r="N74" i="2"/>
  <c r="J96" i="2"/>
  <c r="J95" i="2"/>
  <c r="O95" i="2"/>
  <c r="Q78" i="2"/>
  <c r="Q71" i="2"/>
  <c r="Q84" i="2"/>
  <c r="Q171" i="2"/>
  <c r="P162" i="2"/>
  <c r="H160" i="2"/>
  <c r="L160" i="2"/>
  <c r="K160" i="2"/>
  <c r="H156" i="2"/>
  <c r="L156" i="2"/>
  <c r="P154" i="2"/>
  <c r="Q154" i="2"/>
  <c r="H56" i="2"/>
  <c r="L56" i="2"/>
  <c r="K56" i="2"/>
  <c r="P79" i="2"/>
  <c r="Q79" i="2"/>
  <c r="L76" i="2"/>
  <c r="K76" i="2"/>
  <c r="H32" i="2"/>
  <c r="L32" i="2"/>
  <c r="K32" i="2"/>
  <c r="H50" i="2"/>
  <c r="L50" i="2"/>
  <c r="P31" i="2"/>
  <c r="Q31" i="2"/>
  <c r="H9" i="2"/>
  <c r="L9" i="2"/>
  <c r="K9" i="2"/>
  <c r="P16" i="2"/>
  <c r="Q16" i="2"/>
  <c r="L5" i="2"/>
  <c r="K5" i="2"/>
  <c r="H12" i="2"/>
  <c r="L12" i="2"/>
  <c r="K12" i="2"/>
  <c r="H3" i="2"/>
  <c r="L3" i="2"/>
  <c r="K3" i="2"/>
  <c r="J3" i="2"/>
  <c r="H18" i="2"/>
  <c r="L18" i="2"/>
  <c r="K18" i="2"/>
  <c r="J18" i="2"/>
  <c r="H14" i="2"/>
  <c r="L14" i="2"/>
  <c r="K14" i="2"/>
  <c r="J14" i="2"/>
  <c r="H46" i="2"/>
  <c r="L46" i="2"/>
  <c r="K46" i="2"/>
  <c r="J46" i="2"/>
  <c r="H25" i="2"/>
  <c r="L25" i="2"/>
  <c r="K25" i="2"/>
  <c r="J25" i="2"/>
  <c r="H40" i="2"/>
  <c r="L40" i="2"/>
  <c r="K40" i="2"/>
  <c r="J40" i="2"/>
  <c r="H53" i="2"/>
  <c r="L53" i="2"/>
  <c r="K53" i="2"/>
  <c r="J53" i="2"/>
  <c r="K78" i="2"/>
  <c r="P71" i="2"/>
  <c r="K71" i="2"/>
  <c r="K80" i="2"/>
  <c r="K65" i="2"/>
  <c r="P83" i="2"/>
  <c r="K83" i="2"/>
  <c r="P84" i="2"/>
  <c r="R84" i="2"/>
  <c r="K89" i="2"/>
  <c r="K82" i="2"/>
  <c r="P92" i="2"/>
  <c r="K92" i="2"/>
  <c r="P171" i="2"/>
  <c r="R171" i="2"/>
  <c r="K170" i="2"/>
  <c r="K169" i="2"/>
  <c r="P168" i="2"/>
  <c r="K168" i="2"/>
  <c r="P167" i="2"/>
  <c r="R167" i="2"/>
  <c r="K166" i="2"/>
  <c r="K165" i="2"/>
  <c r="P164" i="2"/>
  <c r="K164" i="2"/>
  <c r="H163" i="2"/>
  <c r="L163" i="2"/>
  <c r="K163" i="2"/>
  <c r="O162" i="2"/>
  <c r="P161" i="2"/>
  <c r="Q161" i="2"/>
  <c r="L159" i="2"/>
  <c r="K159" i="2"/>
  <c r="Q157" i="2"/>
  <c r="H155" i="2"/>
  <c r="L155" i="2"/>
  <c r="K155" i="2"/>
  <c r="O154" i="2"/>
  <c r="P75" i="2"/>
  <c r="Q75" i="2"/>
  <c r="L47" i="2"/>
  <c r="K47" i="2"/>
  <c r="O79" i="2"/>
  <c r="R79" i="2"/>
  <c r="P70" i="2"/>
  <c r="Q70" i="2"/>
  <c r="H61" i="2"/>
  <c r="L61" i="2"/>
  <c r="K61" i="2"/>
  <c r="P30" i="2"/>
  <c r="H19" i="2"/>
  <c r="L19" i="2"/>
  <c r="K19" i="2"/>
  <c r="M19" i="2" s="1"/>
  <c r="N19" i="2" s="1"/>
  <c r="P15" i="2"/>
  <c r="R15" i="2" s="1"/>
  <c r="Q15" i="2"/>
  <c r="L21" i="2"/>
  <c r="K21" i="2"/>
  <c r="O31" i="2"/>
  <c r="R4" i="2"/>
  <c r="Q4" i="2"/>
  <c r="H13" i="2"/>
  <c r="L13" i="2"/>
  <c r="K13" i="2"/>
  <c r="O16" i="2"/>
  <c r="H10" i="2"/>
  <c r="L10" i="2"/>
  <c r="P7" i="2"/>
  <c r="K158" i="2"/>
  <c r="O157" i="2"/>
  <c r="O75" i="2"/>
  <c r="J56" i="2"/>
  <c r="H79" i="2"/>
  <c r="L79" i="2"/>
  <c r="K79" i="2"/>
  <c r="O70" i="2"/>
  <c r="J76" i="2"/>
  <c r="L68" i="2"/>
  <c r="K68" i="2"/>
  <c r="O30" i="2"/>
  <c r="R30" i="2"/>
  <c r="J32" i="2"/>
  <c r="H48" i="2"/>
  <c r="L48" i="2"/>
  <c r="J50" i="2"/>
  <c r="H31" i="2"/>
  <c r="L31" i="2"/>
  <c r="K31" i="2"/>
  <c r="J9" i="2"/>
  <c r="H16" i="2"/>
  <c r="L16" i="2"/>
  <c r="J5" i="2"/>
  <c r="H6" i="2"/>
  <c r="L6" i="2"/>
  <c r="J12" i="2"/>
  <c r="H2" i="2"/>
  <c r="L2" i="2"/>
  <c r="J2" i="2"/>
  <c r="H17" i="2"/>
  <c r="L17" i="2"/>
  <c r="J17" i="2"/>
  <c r="H20" i="2"/>
  <c r="L20" i="2"/>
  <c r="J20" i="2"/>
  <c r="H44" i="2"/>
  <c r="L44" i="2"/>
  <c r="J44" i="2"/>
  <c r="H23" i="2"/>
  <c r="L23" i="2"/>
  <c r="J23" i="2"/>
  <c r="H11" i="2"/>
  <c r="L11" i="2"/>
  <c r="J11" i="2"/>
  <c r="H28" i="2"/>
  <c r="L28" i="2"/>
  <c r="J28" i="2"/>
  <c r="H49" i="2"/>
  <c r="L49" i="2"/>
  <c r="J49" i="2"/>
  <c r="Q65" i="2"/>
  <c r="H162" i="2"/>
  <c r="L162" i="2"/>
  <c r="K162" i="2"/>
  <c r="O161" i="2"/>
  <c r="J160" i="2"/>
  <c r="L154" i="2"/>
  <c r="K154" i="2"/>
  <c r="H78" i="2"/>
  <c r="L78" i="2"/>
  <c r="H71" i="2"/>
  <c r="L71" i="2"/>
  <c r="H80" i="2"/>
  <c r="L80" i="2"/>
  <c r="H65" i="2"/>
  <c r="L65" i="2"/>
  <c r="H83" i="2"/>
  <c r="L83" i="2"/>
  <c r="H84" i="2"/>
  <c r="L84" i="2"/>
  <c r="H89" i="2"/>
  <c r="L89" i="2"/>
  <c r="H82" i="2"/>
  <c r="L82" i="2"/>
  <c r="H92" i="2"/>
  <c r="L92" i="2"/>
  <c r="H171" i="2"/>
  <c r="L171" i="2"/>
  <c r="H170" i="2"/>
  <c r="L170" i="2"/>
  <c r="H169" i="2"/>
  <c r="L169" i="2"/>
  <c r="H168" i="2"/>
  <c r="L168" i="2"/>
  <c r="H167" i="2"/>
  <c r="L167" i="2"/>
  <c r="H166" i="2"/>
  <c r="L166" i="2"/>
  <c r="H165" i="2"/>
  <c r="L165" i="2"/>
  <c r="H164" i="2"/>
  <c r="L164" i="2"/>
  <c r="J163" i="2"/>
  <c r="H161" i="2"/>
  <c r="L161" i="2"/>
  <c r="K161" i="2"/>
  <c r="J159" i="2"/>
  <c r="H157" i="2"/>
  <c r="L157" i="2"/>
  <c r="K157" i="2"/>
  <c r="J155" i="2"/>
  <c r="H75" i="2"/>
  <c r="L75" i="2"/>
  <c r="K75" i="2"/>
  <c r="J47" i="2"/>
  <c r="H70" i="2"/>
  <c r="L70" i="2"/>
  <c r="K70" i="2"/>
  <c r="J61" i="2"/>
  <c r="H30" i="2"/>
  <c r="L30" i="2"/>
  <c r="K30" i="2"/>
  <c r="J19" i="2"/>
  <c r="H15" i="2"/>
  <c r="L15" i="2"/>
  <c r="K15" i="2"/>
  <c r="J21" i="2"/>
  <c r="H4" i="2"/>
  <c r="L4" i="2"/>
  <c r="K4" i="2"/>
  <c r="J13" i="2"/>
  <c r="H8" i="2"/>
  <c r="L8" i="2"/>
  <c r="K8" i="2"/>
  <c r="J10" i="2"/>
  <c r="H7" i="2"/>
  <c r="L7" i="2"/>
  <c r="K7" i="2"/>
  <c r="J59" i="2"/>
  <c r="J29" i="2"/>
  <c r="J57" i="2"/>
  <c r="J45" i="2"/>
  <c r="P93" i="2"/>
  <c r="R93" i="2"/>
  <c r="Q93" i="2"/>
  <c r="P149" i="2"/>
  <c r="R149" i="2"/>
  <c r="Q149" i="2"/>
  <c r="P130" i="2"/>
  <c r="Q130" i="2"/>
  <c r="O130" i="2"/>
  <c r="H148" i="2"/>
  <c r="L148" i="2"/>
  <c r="J148" i="2"/>
  <c r="K148" i="2"/>
  <c r="H146" i="2"/>
  <c r="L146" i="2"/>
  <c r="J146" i="2"/>
  <c r="K146" i="2"/>
  <c r="H144" i="2"/>
  <c r="L144" i="2"/>
  <c r="J144" i="2"/>
  <c r="K144" i="2"/>
  <c r="H142" i="2"/>
  <c r="L142" i="2"/>
  <c r="J142" i="2"/>
  <c r="K142" i="2"/>
  <c r="H140" i="2"/>
  <c r="L140" i="2"/>
  <c r="J140" i="2"/>
  <c r="K140" i="2"/>
  <c r="H138" i="2"/>
  <c r="L138" i="2"/>
  <c r="J138" i="2"/>
  <c r="K138" i="2"/>
  <c r="K153" i="2"/>
  <c r="M153" i="2"/>
  <c r="N153" i="2"/>
  <c r="J151" i="2"/>
  <c r="K150" i="2"/>
  <c r="M150" i="2"/>
  <c r="N150" i="2"/>
  <c r="K59" i="2"/>
  <c r="M59" i="2"/>
  <c r="N59" i="2"/>
  <c r="K29" i="2"/>
  <c r="M29" i="2"/>
  <c r="N29" i="2"/>
  <c r="K57" i="2"/>
  <c r="M57" i="2"/>
  <c r="N57" i="2"/>
  <c r="K45" i="2"/>
  <c r="M45" i="2"/>
  <c r="N45" i="2"/>
  <c r="Q52" i="2"/>
  <c r="K52" i="2"/>
  <c r="M52" i="2"/>
  <c r="N52" i="2"/>
  <c r="Q81" i="2"/>
  <c r="K81" i="2"/>
  <c r="M81" i="2"/>
  <c r="N81" i="2"/>
  <c r="Q86" i="2"/>
  <c r="K86" i="2"/>
  <c r="M86" i="2"/>
  <c r="N86" i="2"/>
  <c r="S86" i="2"/>
  <c r="Q88" i="2"/>
  <c r="K88" i="2"/>
  <c r="M88" i="2"/>
  <c r="N88" i="2"/>
  <c r="J153" i="2"/>
  <c r="K93" i="2"/>
  <c r="M93" i="2"/>
  <c r="N93" i="2"/>
  <c r="J150" i="2"/>
  <c r="K149" i="2"/>
  <c r="M149" i="2"/>
  <c r="N149" i="2"/>
  <c r="H147" i="2"/>
  <c r="L147" i="2"/>
  <c r="J147" i="2"/>
  <c r="K147" i="2"/>
  <c r="H145" i="2"/>
  <c r="L145" i="2"/>
  <c r="J145" i="2"/>
  <c r="K145" i="2"/>
  <c r="H143" i="2"/>
  <c r="L143" i="2"/>
  <c r="J143" i="2"/>
  <c r="K143" i="2"/>
  <c r="H141" i="2"/>
  <c r="L141" i="2"/>
  <c r="J141" i="2"/>
  <c r="K141" i="2"/>
  <c r="H139" i="2"/>
  <c r="L139" i="2"/>
  <c r="J139" i="2"/>
  <c r="K139" i="2"/>
  <c r="H137" i="2"/>
  <c r="L137" i="2"/>
  <c r="J137" i="2"/>
  <c r="K137" i="2"/>
  <c r="P126" i="2"/>
  <c r="Q126" i="2"/>
  <c r="P122" i="2"/>
  <c r="Q122" i="2"/>
  <c r="O117" i="2"/>
  <c r="Q117" i="2"/>
  <c r="O113" i="2"/>
  <c r="Q113" i="2"/>
  <c r="K128" i="2"/>
  <c r="M128" i="2"/>
  <c r="N128" i="2"/>
  <c r="O126" i="2"/>
  <c r="P125" i="2"/>
  <c r="Q125" i="2"/>
  <c r="K124" i="2"/>
  <c r="M124" i="2"/>
  <c r="N124" i="2"/>
  <c r="O122" i="2"/>
  <c r="P121" i="2"/>
  <c r="Q121" i="2"/>
  <c r="K120" i="2"/>
  <c r="M120" i="2"/>
  <c r="N120" i="2"/>
  <c r="K136" i="2"/>
  <c r="M136" i="2"/>
  <c r="N136" i="2"/>
  <c r="K135" i="2"/>
  <c r="M135" i="2"/>
  <c r="N135" i="2"/>
  <c r="K134" i="2"/>
  <c r="M134" i="2"/>
  <c r="N134" i="2"/>
  <c r="K133" i="2"/>
  <c r="M133" i="2"/>
  <c r="N133" i="2"/>
  <c r="K132" i="2"/>
  <c r="M132" i="2"/>
  <c r="N132" i="2"/>
  <c r="J128" i="2"/>
  <c r="K127" i="2"/>
  <c r="M127" i="2"/>
  <c r="N127" i="2"/>
  <c r="O125" i="2"/>
  <c r="J124" i="2"/>
  <c r="K123" i="2"/>
  <c r="M123" i="2"/>
  <c r="N123" i="2"/>
  <c r="O121" i="2"/>
  <c r="J120" i="2"/>
  <c r="K119" i="2"/>
  <c r="M119" i="2"/>
  <c r="N119" i="2"/>
  <c r="O115" i="2"/>
  <c r="R115" i="2"/>
  <c r="Q115" i="2"/>
  <c r="O111" i="2"/>
  <c r="R111" i="2"/>
  <c r="Q111" i="2"/>
  <c r="J136" i="2"/>
  <c r="J135" i="2"/>
  <c r="J134" i="2"/>
  <c r="O134" i="2"/>
  <c r="J133" i="2"/>
  <c r="J132" i="2"/>
  <c r="J131" i="2"/>
  <c r="K130" i="2"/>
  <c r="M130" i="2"/>
  <c r="N130" i="2"/>
  <c r="J127" i="2"/>
  <c r="K126" i="2"/>
  <c r="M126" i="2"/>
  <c r="N126" i="2"/>
  <c r="J123" i="2"/>
  <c r="K122" i="2"/>
  <c r="M122" i="2"/>
  <c r="N122" i="2"/>
  <c r="J119" i="2"/>
  <c r="P117" i="2"/>
  <c r="R117" i="2"/>
  <c r="P113" i="2"/>
  <c r="Q42" i="2"/>
  <c r="O42" i="2"/>
  <c r="Q34" i="2"/>
  <c r="O34" i="2"/>
  <c r="P34" i="2"/>
  <c r="K106" i="2"/>
  <c r="M106" i="2"/>
  <c r="N106" i="2"/>
  <c r="K42" i="2"/>
  <c r="Q35" i="2"/>
  <c r="O35" i="2"/>
  <c r="P35" i="2"/>
  <c r="J106" i="2"/>
  <c r="O105" i="2"/>
  <c r="Q77" i="2"/>
  <c r="Q55" i="2"/>
  <c r="Q51" i="2"/>
  <c r="Q108" i="2"/>
  <c r="P42" i="2"/>
  <c r="H42" i="2"/>
  <c r="L42" i="2"/>
  <c r="J43" i="2"/>
  <c r="H43" i="2"/>
  <c r="L43" i="2"/>
  <c r="M43" i="2"/>
  <c r="N43" i="2"/>
  <c r="P104" i="2"/>
  <c r="R104" i="2"/>
  <c r="M104" i="2"/>
  <c r="N104" i="2"/>
  <c r="H103" i="2"/>
  <c r="L103" i="2"/>
  <c r="M103" i="2"/>
  <c r="N103" i="2"/>
  <c r="O27" i="2"/>
  <c r="R27" i="2"/>
  <c r="Q27" i="2"/>
  <c r="H33" i="2"/>
  <c r="L33" i="2"/>
  <c r="K33" i="2"/>
  <c r="P41" i="2"/>
  <c r="Q41" i="2"/>
  <c r="H36" i="2"/>
  <c r="L36" i="2"/>
  <c r="K36" i="2"/>
  <c r="M22" i="2"/>
  <c r="N22" i="2"/>
  <c r="O66" i="2"/>
  <c r="R66" i="2"/>
  <c r="Q66" i="2"/>
  <c r="P24" i="2"/>
  <c r="Q24" i="2"/>
  <c r="H39" i="2"/>
  <c r="L39" i="2"/>
  <c r="K39" i="2"/>
  <c r="P54" i="2"/>
  <c r="Q54" i="2"/>
  <c r="M35" i="2"/>
  <c r="N35" i="2"/>
  <c r="O22" i="2"/>
  <c r="R22" i="2"/>
  <c r="Q22" i="2"/>
  <c r="J33" i="2"/>
  <c r="O41" i="2"/>
  <c r="H41" i="2"/>
  <c r="L41" i="2"/>
  <c r="K41" i="2"/>
  <c r="J36" i="2"/>
  <c r="Q60" i="2"/>
  <c r="M37" i="2"/>
  <c r="N37" i="2"/>
  <c r="P38" i="2"/>
  <c r="M38" i="2"/>
  <c r="N38" i="2"/>
  <c r="M27" i="2"/>
  <c r="N27" i="2"/>
  <c r="S27" i="2"/>
  <c r="T27" i="2"/>
  <c r="U27" i="2"/>
  <c r="O24" i="2"/>
  <c r="H24" i="2"/>
  <c r="L24" i="2"/>
  <c r="K24" i="2"/>
  <c r="M24" i="2"/>
  <c r="N24" i="2"/>
  <c r="J39" i="2"/>
  <c r="O54" i="2"/>
  <c r="H91" i="2"/>
  <c r="L91" i="2"/>
  <c r="J91" i="2"/>
  <c r="H63" i="2"/>
  <c r="L63" i="2"/>
  <c r="J63" i="2"/>
  <c r="K91" i="2"/>
  <c r="K63" i="2"/>
  <c r="M63" i="2" s="1"/>
  <c r="N63" i="2" s="1"/>
  <c r="K54" i="2"/>
  <c r="M54" i="2"/>
  <c r="N54" i="2"/>
  <c r="K60" i="2"/>
  <c r="M60" i="2"/>
  <c r="N60" i="2"/>
  <c r="Q102" i="2"/>
  <c r="K102" i="2"/>
  <c r="M102" i="2"/>
  <c r="N102" i="2"/>
  <c r="S102" i="2"/>
  <c r="K101" i="2"/>
  <c r="M101" i="2"/>
  <c r="N101" i="2"/>
  <c r="Q100" i="2"/>
  <c r="K100" i="2"/>
  <c r="M100" i="2"/>
  <c r="N100" i="2"/>
  <c r="S100" i="2"/>
  <c r="T100" i="2"/>
  <c r="U100" i="2"/>
  <c r="V100" i="2"/>
  <c r="Q69" i="2"/>
  <c r="Q98" i="2"/>
  <c r="S98" i="2"/>
  <c r="T98" i="2"/>
  <c r="U98" i="2"/>
  <c r="V98" i="2"/>
  <c r="J87" i="2"/>
  <c r="J90" i="2"/>
  <c r="J97" i="2"/>
  <c r="J85" i="2"/>
  <c r="O85" i="2"/>
  <c r="Q95" i="2"/>
  <c r="P96" i="2"/>
  <c r="P95" i="2"/>
  <c r="R95" i="2"/>
  <c r="J94" i="2"/>
  <c r="Q94" i="2"/>
  <c r="K94" i="2"/>
  <c r="M94" i="2"/>
  <c r="N94" i="2"/>
  <c r="A2" i="7"/>
  <c r="A24" i="1"/>
  <c r="A22" i="1"/>
  <c r="A20" i="1"/>
  <c r="A18" i="1"/>
  <c r="A16" i="1"/>
  <c r="B12" i="1"/>
  <c r="E16" i="1"/>
  <c r="E13" i="1"/>
  <c r="R16" i="2"/>
  <c r="S93" i="2"/>
  <c r="Q152" i="2"/>
  <c r="M66" i="2"/>
  <c r="N66" i="2"/>
  <c r="S66" i="2"/>
  <c r="P112" i="2"/>
  <c r="R112" i="2" s="1"/>
  <c r="M116" i="2"/>
  <c r="N116" i="2"/>
  <c r="R38" i="2"/>
  <c r="S38" i="2" s="1"/>
  <c r="Q129" i="2"/>
  <c r="O152" i="2"/>
  <c r="R152" i="2"/>
  <c r="O129" i="2"/>
  <c r="R129" i="2"/>
  <c r="S129" i="2"/>
  <c r="T129" i="2"/>
  <c r="U129" i="2"/>
  <c r="V129" i="2"/>
  <c r="M49" i="2"/>
  <c r="N49" i="2"/>
  <c r="M44" i="2"/>
  <c r="N44" i="2"/>
  <c r="M6" i="2"/>
  <c r="N6" i="2"/>
  <c r="R70" i="2"/>
  <c r="R75" i="2"/>
  <c r="M21" i="2"/>
  <c r="N21" i="2"/>
  <c r="M155" i="2"/>
  <c r="N155" i="2"/>
  <c r="M46" i="2"/>
  <c r="N46" i="2"/>
  <c r="O81" i="2"/>
  <c r="R81" i="2"/>
  <c r="S81" i="2"/>
  <c r="R67" i="2"/>
  <c r="P60" i="2"/>
  <c r="R60" i="2"/>
  <c r="S60" i="2" s="1"/>
  <c r="T60" i="2" s="1"/>
  <c r="U60" i="2" s="1"/>
  <c r="V60" i="2" s="1"/>
  <c r="Q101" i="2"/>
  <c r="Q112" i="2"/>
  <c r="M4" i="2"/>
  <c r="N4" i="2"/>
  <c r="S4" i="2"/>
  <c r="M75" i="2"/>
  <c r="N75" i="2"/>
  <c r="Q105" i="2"/>
  <c r="P105" i="2"/>
  <c r="R105" i="2"/>
  <c r="S22" i="2"/>
  <c r="R114" i="2"/>
  <c r="S95" i="2"/>
  <c r="T95" i="2"/>
  <c r="U95" i="2"/>
  <c r="V95" i="2"/>
  <c r="S111" i="2"/>
  <c r="R73" i="2"/>
  <c r="R116" i="2"/>
  <c r="S116" i="2"/>
  <c r="T116" i="2"/>
  <c r="U116" i="2"/>
  <c r="M91" i="2"/>
  <c r="N91" i="2"/>
  <c r="R54" i="2"/>
  <c r="S54" i="2"/>
  <c r="R24" i="2"/>
  <c r="S24" i="2"/>
  <c r="T24" i="2"/>
  <c r="U24" i="2"/>
  <c r="S104" i="2"/>
  <c r="R126" i="2"/>
  <c r="S126" i="2"/>
  <c r="M141" i="2"/>
  <c r="N141" i="2"/>
  <c r="S149" i="2"/>
  <c r="S88" i="2"/>
  <c r="M23" i="2"/>
  <c r="N23" i="2"/>
  <c r="M2" i="2"/>
  <c r="N2" i="2"/>
  <c r="M68" i="2"/>
  <c r="N68" i="2"/>
  <c r="M79" i="2"/>
  <c r="N79" i="2"/>
  <c r="M159" i="2"/>
  <c r="N159" i="2"/>
  <c r="R162" i="2"/>
  <c r="M25" i="2"/>
  <c r="N25" i="2"/>
  <c r="M3" i="2"/>
  <c r="N3" i="2"/>
  <c r="S69" i="2"/>
  <c r="T69" i="2"/>
  <c r="U69" i="2"/>
  <c r="V69" i="2"/>
  <c r="O101" i="2"/>
  <c r="R101" i="2"/>
  <c r="S101" i="2"/>
  <c r="M55" i="2"/>
  <c r="N55" i="2"/>
  <c r="M39" i="2"/>
  <c r="N39" i="2"/>
  <c r="M143" i="2"/>
  <c r="N143" i="2"/>
  <c r="M140" i="2"/>
  <c r="N140" i="2"/>
  <c r="M148" i="2"/>
  <c r="N148" i="2"/>
  <c r="M7" i="2"/>
  <c r="N7" i="2"/>
  <c r="M30" i="2"/>
  <c r="N30" i="2"/>
  <c r="M161" i="2"/>
  <c r="N161" i="2"/>
  <c r="M154" i="2"/>
  <c r="N154" i="2"/>
  <c r="M162" i="2"/>
  <c r="N162" i="2"/>
  <c r="O96" i="2"/>
  <c r="Q96" i="2"/>
  <c r="Q26" i="2"/>
  <c r="O26" i="2"/>
  <c r="P26" i="2"/>
  <c r="R26" i="2" s="1"/>
  <c r="O109" i="2"/>
  <c r="Q109" i="2"/>
  <c r="P109" i="2"/>
  <c r="R96" i="2"/>
  <c r="M166" i="2"/>
  <c r="N166" i="2"/>
  <c r="M170" i="2"/>
  <c r="N170" i="2"/>
  <c r="M89" i="2"/>
  <c r="N89" i="2"/>
  <c r="M80" i="2"/>
  <c r="N80" i="2"/>
  <c r="P99" i="2"/>
  <c r="O99" i="2"/>
  <c r="P52" i="2"/>
  <c r="O52" i="2"/>
  <c r="O74" i="2"/>
  <c r="R74" i="2"/>
  <c r="Q74" i="2"/>
  <c r="S74" i="2" s="1"/>
  <c r="R55" i="2"/>
  <c r="R62" i="2"/>
  <c r="M42" i="2"/>
  <c r="N42" i="2"/>
  <c r="R41" i="2"/>
  <c r="M36" i="2"/>
  <c r="N36" i="2"/>
  <c r="M33" i="2"/>
  <c r="N33" i="2"/>
  <c r="M142" i="2"/>
  <c r="N142" i="2"/>
  <c r="M8" i="2"/>
  <c r="N8" i="2"/>
  <c r="M70" i="2"/>
  <c r="N70" i="2"/>
  <c r="R161" i="2"/>
  <c r="M11" i="2"/>
  <c r="N11" i="2"/>
  <c r="M17" i="2"/>
  <c r="N17" i="2"/>
  <c r="M31" i="2"/>
  <c r="N31" i="2"/>
  <c r="R157" i="2"/>
  <c r="M10" i="2"/>
  <c r="N10" i="2"/>
  <c r="M61" i="2"/>
  <c r="N61" i="2"/>
  <c r="M163" i="2"/>
  <c r="N163" i="2"/>
  <c r="M40" i="2"/>
  <c r="N40" i="2"/>
  <c r="M18" i="2"/>
  <c r="N18" i="2"/>
  <c r="P87" i="2"/>
  <c r="Q87" i="2"/>
  <c r="O87" i="2"/>
  <c r="P119" i="2"/>
  <c r="Q119" i="2"/>
  <c r="O119" i="2"/>
  <c r="P127" i="2"/>
  <c r="Q127" i="2"/>
  <c r="O127" i="2"/>
  <c r="P133" i="2"/>
  <c r="O133" i="2"/>
  <c r="Q133" i="2"/>
  <c r="P128" i="2"/>
  <c r="Q128" i="2"/>
  <c r="O128" i="2"/>
  <c r="P137" i="2"/>
  <c r="O137" i="2"/>
  <c r="R137" i="2"/>
  <c r="Q137" i="2"/>
  <c r="P145" i="2"/>
  <c r="O145" i="2"/>
  <c r="Q145" i="2"/>
  <c r="P153" i="2"/>
  <c r="Q153" i="2"/>
  <c r="O153" i="2"/>
  <c r="P144" i="2"/>
  <c r="O144" i="2"/>
  <c r="Q144" i="2"/>
  <c r="P29" i="2"/>
  <c r="Q29" i="2"/>
  <c r="O29" i="2"/>
  <c r="P10" i="2"/>
  <c r="Q10" i="2"/>
  <c r="O10" i="2"/>
  <c r="R10" i="2"/>
  <c r="T4" i="2"/>
  <c r="U4" i="2"/>
  <c r="V4" i="2"/>
  <c r="P61" i="2"/>
  <c r="Q61" i="2"/>
  <c r="O61" i="2"/>
  <c r="R61" i="2"/>
  <c r="S61" i="2"/>
  <c r="P163" i="2"/>
  <c r="Q163" i="2"/>
  <c r="O163" i="2"/>
  <c r="P160" i="2"/>
  <c r="Q160" i="2"/>
  <c r="O160" i="2"/>
  <c r="P23" i="2"/>
  <c r="Q23" i="2"/>
  <c r="O23" i="2"/>
  <c r="P2" i="2"/>
  <c r="Q2" i="2"/>
  <c r="O2" i="2"/>
  <c r="P50" i="2"/>
  <c r="Q50" i="2"/>
  <c r="O50" i="2"/>
  <c r="M164" i="2"/>
  <c r="N164" i="2"/>
  <c r="M168" i="2"/>
  <c r="N168" i="2"/>
  <c r="M92" i="2"/>
  <c r="N92" i="2"/>
  <c r="M83" i="2"/>
  <c r="N83" i="2"/>
  <c r="M78" i="2"/>
  <c r="N78" i="2"/>
  <c r="P25" i="2"/>
  <c r="Q25" i="2"/>
  <c r="O25" i="2"/>
  <c r="P3" i="2"/>
  <c r="Q3" i="2"/>
  <c r="O3" i="2"/>
  <c r="T22" i="2"/>
  <c r="U22" i="2"/>
  <c r="V22" i="2"/>
  <c r="P39" i="2"/>
  <c r="Q39" i="2"/>
  <c r="O39" i="2"/>
  <c r="T104" i="2"/>
  <c r="U104" i="2"/>
  <c r="R34" i="2"/>
  <c r="S34" i="2" s="1"/>
  <c r="T34" i="2" s="1"/>
  <c r="U34" i="2" s="1"/>
  <c r="P134" i="2"/>
  <c r="Q134" i="2"/>
  <c r="P142" i="2"/>
  <c r="O142" i="2"/>
  <c r="Q142" i="2"/>
  <c r="P59" i="2"/>
  <c r="Q59" i="2"/>
  <c r="O59" i="2"/>
  <c r="P19" i="2"/>
  <c r="Q19" i="2"/>
  <c r="O19" i="2"/>
  <c r="P159" i="2"/>
  <c r="Q159" i="2"/>
  <c r="O159" i="2"/>
  <c r="P11" i="2"/>
  <c r="Q11" i="2"/>
  <c r="O11" i="2"/>
  <c r="P17" i="2"/>
  <c r="Q17" i="2"/>
  <c r="O17" i="2"/>
  <c r="P9" i="2"/>
  <c r="Q9" i="2"/>
  <c r="O9" i="2"/>
  <c r="P40" i="2"/>
  <c r="Q40" i="2"/>
  <c r="O40" i="2"/>
  <c r="P18" i="2"/>
  <c r="Q18" i="2"/>
  <c r="O18" i="2"/>
  <c r="P85" i="2"/>
  <c r="Q85" i="2"/>
  <c r="P91" i="2"/>
  <c r="Q91" i="2"/>
  <c r="O91" i="2"/>
  <c r="P143" i="2"/>
  <c r="O143" i="2"/>
  <c r="Q143" i="2"/>
  <c r="R35" i="2"/>
  <c r="S35" i="2"/>
  <c r="T35" i="2"/>
  <c r="U35" i="2"/>
  <c r="P123" i="2"/>
  <c r="Q123" i="2"/>
  <c r="O123" i="2"/>
  <c r="P131" i="2"/>
  <c r="O131" i="2"/>
  <c r="Q131" i="2"/>
  <c r="P135" i="2"/>
  <c r="O135" i="2"/>
  <c r="Q135" i="2"/>
  <c r="R125" i="2"/>
  <c r="S125" i="2"/>
  <c r="R122" i="2"/>
  <c r="S122" i="2"/>
  <c r="T122" i="2"/>
  <c r="U122" i="2"/>
  <c r="M139" i="2"/>
  <c r="N139" i="2"/>
  <c r="P141" i="2"/>
  <c r="O141" i="2"/>
  <c r="Q141" i="2"/>
  <c r="M138" i="2"/>
  <c r="N138" i="2"/>
  <c r="P140" i="2"/>
  <c r="O140" i="2"/>
  <c r="Q140" i="2"/>
  <c r="P155" i="2"/>
  <c r="Q155" i="2"/>
  <c r="O155" i="2"/>
  <c r="P28" i="2"/>
  <c r="Q28" i="2"/>
  <c r="O28" i="2"/>
  <c r="P20" i="2"/>
  <c r="Q20" i="2"/>
  <c r="O20" i="2"/>
  <c r="P5" i="2"/>
  <c r="Q5" i="2"/>
  <c r="O5" i="2"/>
  <c r="M165" i="2"/>
  <c r="N165" i="2"/>
  <c r="M167" i="2"/>
  <c r="N167" i="2"/>
  <c r="M169" i="2"/>
  <c r="N169" i="2"/>
  <c r="M171" i="2"/>
  <c r="N171" i="2"/>
  <c r="M82" i="2"/>
  <c r="N82" i="2"/>
  <c r="M84" i="2"/>
  <c r="N84" i="2"/>
  <c r="M65" i="2"/>
  <c r="N65" i="2"/>
  <c r="M71" i="2"/>
  <c r="N71" i="2"/>
  <c r="P53" i="2"/>
  <c r="Q53" i="2"/>
  <c r="O53" i="2"/>
  <c r="P14" i="2"/>
  <c r="Q14" i="2"/>
  <c r="O14" i="2"/>
  <c r="Q43" i="2"/>
  <c r="O43" i="2"/>
  <c r="P43" i="2"/>
  <c r="P124" i="2"/>
  <c r="Q124" i="2"/>
  <c r="O124" i="2"/>
  <c r="O97" i="2"/>
  <c r="P97" i="2"/>
  <c r="Q97" i="2"/>
  <c r="P120" i="2"/>
  <c r="Q120" i="2"/>
  <c r="O120" i="2"/>
  <c r="R113" i="2"/>
  <c r="M147" i="2"/>
  <c r="N147" i="2"/>
  <c r="P150" i="2"/>
  <c r="Q150" i="2"/>
  <c r="O150" i="2"/>
  <c r="P151" i="2"/>
  <c r="Q151" i="2"/>
  <c r="O151" i="2"/>
  <c r="M146" i="2"/>
  <c r="N146" i="2"/>
  <c r="P148" i="2"/>
  <c r="O148" i="2"/>
  <c r="Q148" i="2"/>
  <c r="P45" i="2"/>
  <c r="Q45" i="2"/>
  <c r="O45" i="2"/>
  <c r="R45" i="2"/>
  <c r="P21" i="2"/>
  <c r="Q21" i="2"/>
  <c r="O21" i="2"/>
  <c r="R21" i="2"/>
  <c r="S21" i="2" s="1"/>
  <c r="O90" i="2"/>
  <c r="P90" i="2"/>
  <c r="Q90" i="2"/>
  <c r="P63" i="2"/>
  <c r="Q63" i="2"/>
  <c r="O63" i="2"/>
  <c r="P36" i="2"/>
  <c r="Q36" i="2"/>
  <c r="O36" i="2"/>
  <c r="O33" i="2"/>
  <c r="Q33" i="2"/>
  <c r="P33" i="2"/>
  <c r="Q106" i="2"/>
  <c r="P106" i="2"/>
  <c r="O106" i="2"/>
  <c r="R42" i="2"/>
  <c r="P132" i="2"/>
  <c r="O132" i="2"/>
  <c r="R132" i="2"/>
  <c r="Q132" i="2"/>
  <c r="S132" i="2" s="1"/>
  <c r="P136" i="2"/>
  <c r="O136" i="2"/>
  <c r="R136" i="2"/>
  <c r="Q136" i="2"/>
  <c r="S136" i="2" s="1"/>
  <c r="T136" i="2" s="1"/>
  <c r="U136" i="2" s="1"/>
  <c r="R121" i="2"/>
  <c r="M137" i="2"/>
  <c r="N137" i="2"/>
  <c r="P139" i="2"/>
  <c r="O139" i="2"/>
  <c r="Q139" i="2"/>
  <c r="M145" i="2"/>
  <c r="N145" i="2"/>
  <c r="P147" i="2"/>
  <c r="O147" i="2"/>
  <c r="Q147" i="2"/>
  <c r="T86" i="2"/>
  <c r="U86" i="2"/>
  <c r="P138" i="2"/>
  <c r="O138" i="2"/>
  <c r="Q138" i="2"/>
  <c r="M144" i="2"/>
  <c r="N144" i="2"/>
  <c r="P146" i="2"/>
  <c r="O146" i="2"/>
  <c r="Q146" i="2"/>
  <c r="R130" i="2"/>
  <c r="S130" i="2"/>
  <c r="P57" i="2"/>
  <c r="Q57" i="2"/>
  <c r="O57" i="2"/>
  <c r="P13" i="2"/>
  <c r="Q13" i="2"/>
  <c r="O13" i="2"/>
  <c r="M15" i="2"/>
  <c r="N15" i="2"/>
  <c r="P47" i="2"/>
  <c r="Q47" i="2"/>
  <c r="O47" i="2"/>
  <c r="M157" i="2"/>
  <c r="N157" i="2"/>
  <c r="P49" i="2"/>
  <c r="Q49" i="2"/>
  <c r="O49" i="2"/>
  <c r="M28" i="2"/>
  <c r="N28" i="2"/>
  <c r="P44" i="2"/>
  <c r="Q44" i="2"/>
  <c r="O44" i="2"/>
  <c r="M20" i="2"/>
  <c r="N20" i="2"/>
  <c r="P12" i="2"/>
  <c r="Q12" i="2"/>
  <c r="O12" i="2"/>
  <c r="M16" i="2"/>
  <c r="N16" i="2"/>
  <c r="P32" i="2"/>
  <c r="Q32" i="2"/>
  <c r="O32" i="2"/>
  <c r="P76" i="2"/>
  <c r="Q76" i="2"/>
  <c r="O76" i="2"/>
  <c r="P56" i="2"/>
  <c r="Q56" i="2"/>
  <c r="O56" i="2"/>
  <c r="M13" i="2"/>
  <c r="N13" i="2"/>
  <c r="R31" i="2"/>
  <c r="M47" i="2"/>
  <c r="N47" i="2"/>
  <c r="R154" i="2"/>
  <c r="M53" i="2"/>
  <c r="N53" i="2"/>
  <c r="P46" i="2"/>
  <c r="Q46" i="2"/>
  <c r="O46" i="2"/>
  <c r="M14" i="2"/>
  <c r="N14" i="2"/>
  <c r="M12" i="2"/>
  <c r="N12" i="2"/>
  <c r="M5" i="2"/>
  <c r="N5" i="2"/>
  <c r="M9" i="2"/>
  <c r="N9" i="2"/>
  <c r="M50" i="2"/>
  <c r="N50" i="2"/>
  <c r="M32" i="2"/>
  <c r="N32" i="2"/>
  <c r="M76" i="2"/>
  <c r="N76" i="2"/>
  <c r="M56" i="2"/>
  <c r="N56" i="2"/>
  <c r="M160" i="2"/>
  <c r="N160" i="2"/>
  <c r="O94" i="2"/>
  <c r="P94" i="2"/>
  <c r="A4" i="7"/>
  <c r="A2" i="5"/>
  <c r="E17" i="1"/>
  <c r="E18" i="1"/>
  <c r="C24" i="6"/>
  <c r="C24" i="1"/>
  <c r="B24" i="6"/>
  <c r="C22" i="6"/>
  <c r="B22" i="6"/>
  <c r="C20" i="6"/>
  <c r="B20" i="6"/>
  <c r="C18" i="6"/>
  <c r="C18" i="1"/>
  <c r="B18" i="6"/>
  <c r="B18" i="1"/>
  <c r="C16" i="6"/>
  <c r="C16" i="1"/>
  <c r="B16" i="6"/>
  <c r="R106" i="2"/>
  <c r="S45" i="2"/>
  <c r="R148" i="2"/>
  <c r="S148" i="2"/>
  <c r="T148" i="2"/>
  <c r="U148" i="2"/>
  <c r="V148" i="2"/>
  <c r="R145" i="2"/>
  <c r="S145" i="2" s="1"/>
  <c r="T145" i="2" s="1"/>
  <c r="U145" i="2" s="1"/>
  <c r="AC145" i="2" s="1"/>
  <c r="AD145" i="2" s="1"/>
  <c r="R52" i="2"/>
  <c r="S52" i="2"/>
  <c r="S96" i="2"/>
  <c r="S30" i="2"/>
  <c r="T30" i="2"/>
  <c r="U30" i="2"/>
  <c r="S137" i="2"/>
  <c r="S31" i="2"/>
  <c r="S70" i="2"/>
  <c r="T70" i="2"/>
  <c r="U70" i="2"/>
  <c r="S162" i="2"/>
  <c r="S55" i="2"/>
  <c r="T55" i="2"/>
  <c r="U55" i="2"/>
  <c r="S79" i="2"/>
  <c r="T79" i="2" s="1"/>
  <c r="U79" i="2" s="1"/>
  <c r="S157" i="2"/>
  <c r="T157" i="2"/>
  <c r="U157" i="2"/>
  <c r="R43" i="2"/>
  <c r="S43" i="2"/>
  <c r="T43" i="2"/>
  <c r="U43" i="2"/>
  <c r="T125" i="2"/>
  <c r="U125" i="2"/>
  <c r="R50" i="2"/>
  <c r="S50" i="2"/>
  <c r="T50" i="2"/>
  <c r="U50" i="2"/>
  <c r="R153" i="2"/>
  <c r="S153" i="2"/>
  <c r="T153" i="2"/>
  <c r="U153" i="2"/>
  <c r="AC153" i="2"/>
  <c r="S154" i="2"/>
  <c r="T154" i="2"/>
  <c r="U154" i="2"/>
  <c r="S152" i="2"/>
  <c r="T152" i="2"/>
  <c r="U152" i="2"/>
  <c r="S106" i="2"/>
  <c r="T106" i="2"/>
  <c r="U106" i="2"/>
  <c r="S75" i="2"/>
  <c r="T75" i="2"/>
  <c r="U75" i="2"/>
  <c r="T130" i="2"/>
  <c r="U130" i="2"/>
  <c r="S84" i="2"/>
  <c r="T84" i="2"/>
  <c r="U84" i="2"/>
  <c r="T31" i="2"/>
  <c r="U31" i="2"/>
  <c r="AC31" i="2"/>
  <c r="AD31" i="2"/>
  <c r="S16" i="2"/>
  <c r="T16" i="2"/>
  <c r="U16" i="2"/>
  <c r="S15" i="2"/>
  <c r="T15" i="2"/>
  <c r="U15" i="2"/>
  <c r="AC15" i="2"/>
  <c r="AD15" i="2"/>
  <c r="S113" i="2"/>
  <c r="T113" i="2"/>
  <c r="U113" i="2"/>
  <c r="T132" i="2"/>
  <c r="U132" i="2"/>
  <c r="R36" i="2"/>
  <c r="S36" i="2"/>
  <c r="T36" i="2"/>
  <c r="U36" i="2"/>
  <c r="R151" i="2"/>
  <c r="S151" i="2"/>
  <c r="T151" i="2"/>
  <c r="U151" i="2"/>
  <c r="R120" i="2"/>
  <c r="S120" i="2"/>
  <c r="T120" i="2"/>
  <c r="U120" i="2"/>
  <c r="S171" i="2"/>
  <c r="T171" i="2"/>
  <c r="U171" i="2"/>
  <c r="R131" i="2"/>
  <c r="S131" i="2"/>
  <c r="T131" i="2"/>
  <c r="U131" i="2"/>
  <c r="R133" i="2"/>
  <c r="S133" i="2"/>
  <c r="T133" i="2"/>
  <c r="U133" i="2"/>
  <c r="S10" i="2"/>
  <c r="T10" i="2"/>
  <c r="U10" i="2"/>
  <c r="S42" i="2"/>
  <c r="T42" i="2"/>
  <c r="U42" i="2"/>
  <c r="S161" i="2"/>
  <c r="T161" i="2"/>
  <c r="U161" i="2"/>
  <c r="S121" i="2"/>
  <c r="T121" i="2"/>
  <c r="U121" i="2"/>
  <c r="AC121" i="2"/>
  <c r="V86" i="2"/>
  <c r="V35" i="2"/>
  <c r="V122" i="2"/>
  <c r="V104" i="2"/>
  <c r="V24" i="2"/>
  <c r="R94" i="2"/>
  <c r="R85" i="2"/>
  <c r="S85" i="2"/>
  <c r="T85" i="2"/>
  <c r="U85" i="2"/>
  <c r="R46" i="2"/>
  <c r="S46" i="2"/>
  <c r="T46" i="2"/>
  <c r="U46" i="2"/>
  <c r="R76" i="2"/>
  <c r="S76" i="2"/>
  <c r="T76" i="2"/>
  <c r="U76" i="2"/>
  <c r="V76" i="2"/>
  <c r="W76" i="2"/>
  <c r="X76" i="2"/>
  <c r="T21" i="2"/>
  <c r="U21" i="2"/>
  <c r="AC21" i="2"/>
  <c r="AD21" i="2"/>
  <c r="T45" i="2"/>
  <c r="U45" i="2"/>
  <c r="R53" i="2"/>
  <c r="S53" i="2"/>
  <c r="T53" i="2"/>
  <c r="U53" i="2"/>
  <c r="AC53" i="2"/>
  <c r="AD53" i="2"/>
  <c r="R39" i="2"/>
  <c r="S39" i="2"/>
  <c r="T39" i="2"/>
  <c r="R128" i="2"/>
  <c r="T74" i="2"/>
  <c r="U74" i="2"/>
  <c r="AC74" i="2"/>
  <c r="AD74" i="2"/>
  <c r="R109" i="2"/>
  <c r="R56" i="2"/>
  <c r="S56" i="2"/>
  <c r="T56" i="2"/>
  <c r="U56" i="2"/>
  <c r="R14" i="2"/>
  <c r="S14" i="2"/>
  <c r="T14" i="2"/>
  <c r="U14" i="2"/>
  <c r="R123" i="2"/>
  <c r="R19" i="2"/>
  <c r="R59" i="2"/>
  <c r="S59" i="2"/>
  <c r="T59" i="2"/>
  <c r="U59" i="2"/>
  <c r="R142" i="2"/>
  <c r="S142" i="2"/>
  <c r="T142" i="2"/>
  <c r="R29" i="2"/>
  <c r="R99" i="2"/>
  <c r="T96" i="2"/>
  <c r="U96" i="2"/>
  <c r="AC96" i="2"/>
  <c r="R141" i="2"/>
  <c r="S141" i="2"/>
  <c r="T141" i="2"/>
  <c r="U141" i="2"/>
  <c r="AC141" i="2"/>
  <c r="R143" i="2"/>
  <c r="S143" i="2"/>
  <c r="T143" i="2"/>
  <c r="U143" i="2"/>
  <c r="R134" i="2"/>
  <c r="R144" i="2"/>
  <c r="S144" i="2"/>
  <c r="R97" i="2"/>
  <c r="S97" i="2"/>
  <c r="T97" i="2"/>
  <c r="U97" i="2"/>
  <c r="R57" i="2"/>
  <c r="R91" i="2"/>
  <c r="S91" i="2"/>
  <c r="T91" i="2"/>
  <c r="R159" i="2"/>
  <c r="S159" i="2"/>
  <c r="R3" i="2"/>
  <c r="S3" i="2"/>
  <c r="T3" i="2"/>
  <c r="U3" i="2"/>
  <c r="R25" i="2"/>
  <c r="S25" i="2"/>
  <c r="R163" i="2"/>
  <c r="S163" i="2"/>
  <c r="T163" i="2"/>
  <c r="U163" i="2"/>
  <c r="R119" i="2"/>
  <c r="R87" i="2"/>
  <c r="S87" i="2"/>
  <c r="T87" i="2"/>
  <c r="U87" i="2"/>
  <c r="R124" i="2"/>
  <c r="S124" i="2"/>
  <c r="R32" i="2"/>
  <c r="R12" i="2"/>
  <c r="S12" i="2"/>
  <c r="R44" i="2"/>
  <c r="R49" i="2"/>
  <c r="R47" i="2"/>
  <c r="S47" i="2"/>
  <c r="T47" i="2"/>
  <c r="U47" i="2"/>
  <c r="R13" i="2"/>
  <c r="S13" i="2"/>
  <c r="T13" i="2"/>
  <c r="U13" i="2"/>
  <c r="R146" i="2"/>
  <c r="S146" i="2"/>
  <c r="R138" i="2"/>
  <c r="S138" i="2"/>
  <c r="R147" i="2"/>
  <c r="R139" i="2"/>
  <c r="S139" i="2"/>
  <c r="R33" i="2"/>
  <c r="R63" i="2"/>
  <c r="S63" i="2"/>
  <c r="R90" i="2"/>
  <c r="R150" i="2"/>
  <c r="S150" i="2"/>
  <c r="T150" i="2"/>
  <c r="U150" i="2"/>
  <c r="R5" i="2"/>
  <c r="S5" i="2"/>
  <c r="R20" i="2"/>
  <c r="S20" i="2"/>
  <c r="R28" i="2"/>
  <c r="S28" i="2"/>
  <c r="R155" i="2"/>
  <c r="R140" i="2"/>
  <c r="S140" i="2"/>
  <c r="T140" i="2"/>
  <c r="U140" i="2"/>
  <c r="R135" i="2"/>
  <c r="R18" i="2"/>
  <c r="S18" i="2"/>
  <c r="R40" i="2"/>
  <c r="R9" i="2"/>
  <c r="S9" i="2"/>
  <c r="R17" i="2"/>
  <c r="S17" i="2"/>
  <c r="R11" i="2"/>
  <c r="R2" i="2"/>
  <c r="S2" i="2"/>
  <c r="T2" i="2"/>
  <c r="U2" i="2"/>
  <c r="R23" i="2"/>
  <c r="S23" i="2"/>
  <c r="R160" i="2"/>
  <c r="S160" i="2"/>
  <c r="T160" i="2"/>
  <c r="U160" i="2"/>
  <c r="R127" i="2"/>
  <c r="S127" i="2"/>
  <c r="A5" i="7"/>
  <c r="E19" i="1"/>
  <c r="E20" i="1"/>
  <c r="E21" i="1"/>
  <c r="A3" i="5"/>
  <c r="B22" i="1"/>
  <c r="C22" i="1"/>
  <c r="B16" i="1"/>
  <c r="B20" i="1"/>
  <c r="B24" i="1"/>
  <c r="C20" i="1"/>
  <c r="V31" i="2"/>
  <c r="V145" i="2"/>
  <c r="W145" i="2"/>
  <c r="X145" i="2"/>
  <c r="AC16" i="2"/>
  <c r="AD16" i="2"/>
  <c r="V16" i="2"/>
  <c r="W16" i="2"/>
  <c r="X16" i="2"/>
  <c r="AC148" i="2"/>
  <c r="AD148" i="2"/>
  <c r="AD121" i="2"/>
  <c r="V121" i="2"/>
  <c r="S90" i="2"/>
  <c r="T90" i="2"/>
  <c r="U90" i="2"/>
  <c r="T124" i="2"/>
  <c r="U124" i="2"/>
  <c r="AC124" i="2"/>
  <c r="AD124" i="2"/>
  <c r="S99" i="2"/>
  <c r="T99" i="2"/>
  <c r="U99" i="2"/>
  <c r="S19" i="2"/>
  <c r="T19" i="2"/>
  <c r="U19" i="2"/>
  <c r="T17" i="2"/>
  <c r="U17" i="2"/>
  <c r="T63" i="2"/>
  <c r="U63" i="2"/>
  <c r="AC63" i="2"/>
  <c r="AD63" i="2"/>
  <c r="S29" i="2"/>
  <c r="T29" i="2"/>
  <c r="U29" i="2"/>
  <c r="AC29" i="2"/>
  <c r="U39" i="2"/>
  <c r="AC39" i="2"/>
  <c r="AD39" i="2"/>
  <c r="T20" i="2"/>
  <c r="U20" i="2"/>
  <c r="V20" i="2"/>
  <c r="W20" i="2"/>
  <c r="X20" i="2"/>
  <c r="T159" i="2"/>
  <c r="U159" i="2"/>
  <c r="T9" i="2"/>
  <c r="U9" i="2"/>
  <c r="V9" i="2"/>
  <c r="W9" i="2"/>
  <c r="X9" i="2"/>
  <c r="T138" i="2"/>
  <c r="U138" i="2"/>
  <c r="S49" i="2"/>
  <c r="T49" i="2"/>
  <c r="U49" i="2"/>
  <c r="AC163" i="2"/>
  <c r="AD163" i="2"/>
  <c r="AD141" i="2"/>
  <c r="S123" i="2"/>
  <c r="T123" i="2"/>
  <c r="U123" i="2"/>
  <c r="S109" i="2"/>
  <c r="T109" i="2"/>
  <c r="U109" i="2"/>
  <c r="S155" i="2"/>
  <c r="T155" i="2"/>
  <c r="U155" i="2"/>
  <c r="V155" i="2"/>
  <c r="W155" i="2"/>
  <c r="X155" i="2"/>
  <c r="T146" i="2"/>
  <c r="U146" i="2"/>
  <c r="T25" i="2"/>
  <c r="U25" i="2"/>
  <c r="S147" i="2"/>
  <c r="T147" i="2"/>
  <c r="U147" i="2"/>
  <c r="V147" i="2"/>
  <c r="W147" i="2"/>
  <c r="X147" i="2"/>
  <c r="S135" i="2"/>
  <c r="T135" i="2"/>
  <c r="U135" i="2"/>
  <c r="S119" i="2"/>
  <c r="T119" i="2"/>
  <c r="U119" i="2"/>
  <c r="T23" i="2"/>
  <c r="U23" i="2"/>
  <c r="T5" i="2"/>
  <c r="U5" i="2"/>
  <c r="AC5" i="2"/>
  <c r="AD5" i="2"/>
  <c r="S32" i="2"/>
  <c r="T32" i="2"/>
  <c r="U32" i="2"/>
  <c r="S44" i="2"/>
  <c r="T44" i="2"/>
  <c r="U44" i="2"/>
  <c r="U91" i="2"/>
  <c r="AC91" i="2"/>
  <c r="U142" i="2"/>
  <c r="AC142" i="2"/>
  <c r="AD142" i="2"/>
  <c r="T127" i="2"/>
  <c r="U127" i="2"/>
  <c r="AC127" i="2"/>
  <c r="AD127" i="2"/>
  <c r="T18" i="2"/>
  <c r="U18" i="2"/>
  <c r="T28" i="2"/>
  <c r="U28" i="2"/>
  <c r="T139" i="2"/>
  <c r="U139" i="2"/>
  <c r="AC139" i="2"/>
  <c r="AD139" i="2"/>
  <c r="T12" i="2"/>
  <c r="U12" i="2"/>
  <c r="S57" i="2"/>
  <c r="T57" i="2"/>
  <c r="U57" i="2"/>
  <c r="S134" i="2"/>
  <c r="T134" i="2"/>
  <c r="U134" i="2"/>
  <c r="S128" i="2"/>
  <c r="T128" i="2"/>
  <c r="U128" i="2"/>
  <c r="S94" i="2"/>
  <c r="T94" i="2"/>
  <c r="U94" i="2"/>
  <c r="AC94" i="2"/>
  <c r="AD94" i="2"/>
  <c r="V15" i="2"/>
  <c r="W15" i="2"/>
  <c r="S11" i="2"/>
  <c r="T11" i="2"/>
  <c r="U11" i="2"/>
  <c r="V11" i="2"/>
  <c r="W11" i="2"/>
  <c r="X11" i="2"/>
  <c r="Z11" i="2"/>
  <c r="S33" i="2"/>
  <c r="T33" i="2"/>
  <c r="U33" i="2"/>
  <c r="T144" i="2"/>
  <c r="U144" i="2"/>
  <c r="S40" i="2"/>
  <c r="T40" i="2"/>
  <c r="U40" i="2"/>
  <c r="V153" i="2"/>
  <c r="W153" i="2"/>
  <c r="X153" i="2"/>
  <c r="Y153" i="2"/>
  <c r="V53" i="2"/>
  <c r="W53" i="2"/>
  <c r="X53" i="2"/>
  <c r="Z53" i="2"/>
  <c r="V141" i="2"/>
  <c r="V39" i="2"/>
  <c r="V21" i="2"/>
  <c r="W21" i="2"/>
  <c r="X21" i="2"/>
  <c r="V74" i="2"/>
  <c r="A6" i="7"/>
  <c r="A4" i="5"/>
  <c r="J17" i="6"/>
  <c r="L17" i="6"/>
  <c r="J18" i="6"/>
  <c r="J19" i="6"/>
  <c r="L19" i="6"/>
  <c r="J20" i="6"/>
  <c r="J21" i="6"/>
  <c r="K20" i="6" s="1"/>
  <c r="O20" i="6" s="1"/>
  <c r="L21" i="6"/>
  <c r="J22" i="6"/>
  <c r="J23" i="6"/>
  <c r="L23" i="6"/>
  <c r="J24" i="6"/>
  <c r="J25" i="6"/>
  <c r="K24" i="6" s="1"/>
  <c r="O24" i="6" s="1"/>
  <c r="L25" i="6"/>
  <c r="J16" i="6"/>
  <c r="AC11" i="2"/>
  <c r="AD11" i="2"/>
  <c r="V124" i="2"/>
  <c r="W124" i="2"/>
  <c r="X124" i="2"/>
  <c r="V139" i="2"/>
  <c r="W139" i="2"/>
  <c r="X139" i="2"/>
  <c r="Z139" i="2"/>
  <c r="V63" i="2"/>
  <c r="W63" i="2"/>
  <c r="X63" i="2"/>
  <c r="Z63" i="2"/>
  <c r="AC119" i="2"/>
  <c r="AD119" i="2"/>
  <c r="V119" i="2"/>
  <c r="W119" i="2"/>
  <c r="X119" i="2"/>
  <c r="Z119" i="2"/>
  <c r="AC147" i="2"/>
  <c r="AD147" i="2"/>
  <c r="AC32" i="2"/>
  <c r="AD32" i="2"/>
  <c r="V32" i="2"/>
  <c r="W32" i="2"/>
  <c r="X32" i="2"/>
  <c r="AC123" i="2"/>
  <c r="AD123" i="2"/>
  <c r="V123" i="2"/>
  <c r="W123" i="2"/>
  <c r="X123" i="2"/>
  <c r="V94" i="2"/>
  <c r="W94" i="2"/>
  <c r="X94" i="2"/>
  <c r="Y94" i="2"/>
  <c r="V29" i="2"/>
  <c r="W29" i="2"/>
  <c r="X29" i="2"/>
  <c r="Z29" i="2"/>
  <c r="V91" i="2"/>
  <c r="E22" i="1"/>
  <c r="A5" i="5"/>
  <c r="J25" i="1"/>
  <c r="K24" i="1"/>
  <c r="O24" i="1"/>
  <c r="N24" i="1"/>
  <c r="J24" i="1"/>
  <c r="J23" i="1"/>
  <c r="J22" i="1"/>
  <c r="J21" i="1"/>
  <c r="K20" i="1"/>
  <c r="O20" i="1"/>
  <c r="N20" i="1"/>
  <c r="J20" i="1"/>
  <c r="J19" i="1"/>
  <c r="J18" i="1"/>
  <c r="J17" i="1"/>
  <c r="K16" i="1"/>
  <c r="O16" i="1"/>
  <c r="N16" i="1"/>
  <c r="J16" i="1"/>
  <c r="E23" i="1"/>
  <c r="E24" i="1"/>
  <c r="A6" i="5"/>
  <c r="K22" i="1"/>
  <c r="O22" i="1"/>
  <c r="K18" i="1"/>
  <c r="O18" i="1"/>
  <c r="N18" i="1"/>
  <c r="E25" i="1"/>
  <c r="N22" i="1"/>
  <c r="K22" i="6"/>
  <c r="O22" i="6"/>
  <c r="N22" i="6"/>
  <c r="K18" i="6"/>
  <c r="K16" i="6"/>
  <c r="O16" i="6"/>
  <c r="N24" i="6"/>
  <c r="L24" i="6"/>
  <c r="L22" i="6"/>
  <c r="N20" i="6"/>
  <c r="L20" i="6"/>
  <c r="O18" i="6"/>
  <c r="N18" i="6"/>
  <c r="L18" i="6"/>
  <c r="N16" i="6"/>
  <c r="L16" i="6"/>
  <c r="G8" i="6"/>
  <c r="X15" i="2"/>
  <c r="Z15" i="2"/>
  <c r="Y32" i="2"/>
  <c r="W31" i="2"/>
  <c r="X31" i="2"/>
  <c r="W4" i="2"/>
  <c r="X4" i="2"/>
  <c r="Y139" i="2"/>
  <c r="W121" i="2"/>
  <c r="X121" i="2"/>
  <c r="Y121" i="2"/>
  <c r="W129" i="2"/>
  <c r="X129" i="2"/>
  <c r="Y129" i="2"/>
  <c r="W86" i="2"/>
  <c r="X86" i="2"/>
  <c r="Y86" i="2"/>
  <c r="W98" i="2"/>
  <c r="X98" i="2"/>
  <c r="Z98" i="2"/>
  <c r="W35" i="2"/>
  <c r="X35" i="2"/>
  <c r="W122" i="2"/>
  <c r="X122" i="2"/>
  <c r="Y122" i="2"/>
  <c r="W74" i="2"/>
  <c r="X74" i="2"/>
  <c r="Z74" i="2"/>
  <c r="W69" i="2"/>
  <c r="X69" i="2"/>
  <c r="Z69" i="2"/>
  <c r="W39" i="2"/>
  <c r="X39" i="2"/>
  <c r="Y39" i="2"/>
  <c r="W141" i="2"/>
  <c r="X141" i="2"/>
  <c r="Y63" i="2"/>
  <c r="W60" i="2"/>
  <c r="X60" i="2"/>
  <c r="Y60" i="2"/>
  <c r="W104" i="2"/>
  <c r="X104" i="2"/>
  <c r="W148" i="2"/>
  <c r="X148" i="2"/>
  <c r="W95" i="2"/>
  <c r="X95" i="2"/>
  <c r="W91" i="2"/>
  <c r="X91" i="2"/>
  <c r="W100" i="2"/>
  <c r="X100" i="2"/>
  <c r="W24" i="2"/>
  <c r="X24" i="2"/>
  <c r="W22" i="2"/>
  <c r="X22" i="2"/>
  <c r="Y22" i="2"/>
  <c r="Y53" i="2"/>
  <c r="Y15" i="2"/>
  <c r="Z32" i="2"/>
  <c r="AA32" i="2"/>
  <c r="AB32" i="2"/>
  <c r="Y69" i="2"/>
  <c r="AA69" i="2" s="1"/>
  <c r="AB69" i="2" s="1"/>
  <c r="Z129" i="2"/>
  <c r="AA129" i="2"/>
  <c r="AB129" i="2"/>
  <c r="Y119" i="2"/>
  <c r="Y100" i="2"/>
  <c r="Z100" i="2"/>
  <c r="AA63" i="2"/>
  <c r="AB63" i="2"/>
  <c r="Z153" i="2"/>
  <c r="Z39" i="2"/>
  <c r="AA39" i="2"/>
  <c r="AB39" i="2"/>
  <c r="Y35" i="2"/>
  <c r="Z35" i="2"/>
  <c r="AA35" i="2" s="1"/>
  <c r="AB35" i="2" s="1"/>
  <c r="Z86" i="2"/>
  <c r="AA86" i="2"/>
  <c r="AB86" i="2"/>
  <c r="Z121" i="2"/>
  <c r="AA121" i="2" s="1"/>
  <c r="AB121" i="2" s="1"/>
  <c r="Z22" i="2"/>
  <c r="AA22" i="2"/>
  <c r="AB22" i="2"/>
  <c r="Z60" i="2"/>
  <c r="AA60" i="2"/>
  <c r="AB60" i="2"/>
  <c r="AE163" i="2"/>
  <c r="AE32" i="2"/>
  <c r="AE53" i="2"/>
  <c r="AE16" i="2"/>
  <c r="AE15" i="2"/>
  <c r="AE21" i="2"/>
  <c r="AE31" i="2"/>
  <c r="AA139" i="2"/>
  <c r="AB139" i="2"/>
  <c r="AE74" i="2"/>
  <c r="AE145" i="2"/>
  <c r="AE39" i="2"/>
  <c r="AE119" i="2"/>
  <c r="AE121" i="2"/>
  <c r="AE124" i="2"/>
  <c r="AE142" i="2"/>
  <c r="AE147" i="2"/>
  <c r="AE63" i="2"/>
  <c r="AE123" i="2"/>
  <c r="AE139" i="2"/>
  <c r="AE141" i="2"/>
  <c r="AE148" i="2"/>
  <c r="AE127" i="2"/>
  <c r="AA153" i="2"/>
  <c r="AB153" i="2"/>
  <c r="AA119" i="2"/>
  <c r="AB119" i="2"/>
  <c r="AE94" i="2"/>
  <c r="A3" i="7"/>
  <c r="Z104" i="2"/>
  <c r="Y104" i="2"/>
  <c r="Y91" i="2"/>
  <c r="Z91" i="2"/>
  <c r="AA91" i="2"/>
  <c r="AB91" i="2"/>
  <c r="Y141" i="2"/>
  <c r="Z141" i="2"/>
  <c r="AA141" i="2"/>
  <c r="AB141" i="2"/>
  <c r="Y74" i="2"/>
  <c r="AA74" i="2"/>
  <c r="AB74" i="2"/>
  <c r="Z122" i="2"/>
  <c r="Z94" i="2"/>
  <c r="AA94" i="2"/>
  <c r="AB94" i="2"/>
  <c r="AC12" i="2"/>
  <c r="V12" i="2"/>
  <c r="W12" i="2"/>
  <c r="X12" i="2"/>
  <c r="AC135" i="2"/>
  <c r="V135" i="2"/>
  <c r="W135" i="2"/>
  <c r="X135" i="2"/>
  <c r="Z135" i="2"/>
  <c r="AC160" i="2"/>
  <c r="AD160" i="2"/>
  <c r="V160" i="2"/>
  <c r="W160" i="2"/>
  <c r="X160" i="2"/>
  <c r="Z160" i="2"/>
  <c r="V144" i="2"/>
  <c r="W144" i="2"/>
  <c r="X144" i="2"/>
  <c r="Z144" i="2"/>
  <c r="AC144" i="2"/>
  <c r="V90" i="2"/>
  <c r="W90" i="2"/>
  <c r="X90" i="2"/>
  <c r="Y90" i="2"/>
  <c r="AC90" i="2"/>
  <c r="AD90" i="2"/>
  <c r="AC87" i="2"/>
  <c r="V87" i="2"/>
  <c r="W87" i="2"/>
  <c r="X87" i="2"/>
  <c r="AC134" i="2"/>
  <c r="AD134" i="2"/>
  <c r="V134" i="2"/>
  <c r="W134" i="2"/>
  <c r="X134" i="2"/>
  <c r="Z134" i="2"/>
  <c r="AC19" i="2"/>
  <c r="AD19" i="2"/>
  <c r="V19" i="2"/>
  <c r="W19" i="2"/>
  <c r="X19" i="2"/>
  <c r="AC13" i="2"/>
  <c r="V13" i="2"/>
  <c r="W13" i="2"/>
  <c r="X13" i="2"/>
  <c r="Y13" i="2"/>
  <c r="AC3" i="2"/>
  <c r="AD3" i="2"/>
  <c r="V3" i="2"/>
  <c r="W3" i="2"/>
  <c r="X3" i="2"/>
  <c r="Z3" i="2"/>
  <c r="V57" i="2"/>
  <c r="W57" i="2"/>
  <c r="X57" i="2"/>
  <c r="Y57" i="2"/>
  <c r="AC57" i="2"/>
  <c r="V109" i="2"/>
  <c r="W109" i="2"/>
  <c r="X109" i="2"/>
  <c r="Y109" i="2"/>
  <c r="AC109" i="2"/>
  <c r="AD29" i="2"/>
  <c r="AE29" i="2"/>
  <c r="AC140" i="2"/>
  <c r="V140" i="2"/>
  <c r="W140" i="2"/>
  <c r="X140" i="2"/>
  <c r="V47" i="2"/>
  <c r="W47" i="2"/>
  <c r="X47" i="2"/>
  <c r="Z47" i="2"/>
  <c r="AC47" i="2"/>
  <c r="AD47" i="2"/>
  <c r="V132" i="2"/>
  <c r="W132" i="2"/>
  <c r="X132" i="2"/>
  <c r="AC132" i="2"/>
  <c r="AC154" i="2"/>
  <c r="V154" i="2"/>
  <c r="W154" i="2"/>
  <c r="X154" i="2"/>
  <c r="Y154" i="2"/>
  <c r="AC136" i="2"/>
  <c r="AD136" i="2"/>
  <c r="V136" i="2"/>
  <c r="W136" i="2"/>
  <c r="X136" i="2"/>
  <c r="V127" i="2"/>
  <c r="W127" i="2"/>
  <c r="X127" i="2"/>
  <c r="V5" i="2"/>
  <c r="W5" i="2"/>
  <c r="X5" i="2"/>
  <c r="AC9" i="2"/>
  <c r="AC20" i="2"/>
  <c r="AD20" i="2"/>
  <c r="V75" i="2"/>
  <c r="W75" i="2"/>
  <c r="X75" i="2"/>
  <c r="AC75" i="2"/>
  <c r="AD75" i="2"/>
  <c r="AC125" i="2"/>
  <c r="V125" i="2"/>
  <c r="W125" i="2"/>
  <c r="X125" i="2"/>
  <c r="V106" i="2"/>
  <c r="W106" i="2"/>
  <c r="X106" i="2"/>
  <c r="Z106" i="2"/>
  <c r="AC106" i="2"/>
  <c r="AD106" i="2"/>
  <c r="V79" i="2"/>
  <c r="W79" i="2"/>
  <c r="X79" i="2"/>
  <c r="Z79" i="2"/>
  <c r="AC79" i="2"/>
  <c r="V30" i="2"/>
  <c r="W30" i="2"/>
  <c r="X30" i="2"/>
  <c r="Z30" i="2"/>
  <c r="AC30" i="2"/>
  <c r="AE11" i="2"/>
  <c r="V163" i="2"/>
  <c r="W163" i="2"/>
  <c r="X163" i="2"/>
  <c r="Z163" i="2"/>
  <c r="AC143" i="2"/>
  <c r="V143" i="2"/>
  <c r="W143" i="2"/>
  <c r="X143" i="2"/>
  <c r="Z143" i="2"/>
  <c r="V50" i="2"/>
  <c r="W50" i="2"/>
  <c r="X50" i="2"/>
  <c r="AC50" i="2"/>
  <c r="AD50" i="2"/>
  <c r="V96" i="2"/>
  <c r="W96" i="2"/>
  <c r="X96" i="2"/>
  <c r="Z96" i="2"/>
  <c r="S112" i="2"/>
  <c r="T112" i="2"/>
  <c r="U112" i="2"/>
  <c r="AC112" i="2"/>
  <c r="O166" i="2"/>
  <c r="Q166" i="2"/>
  <c r="P166" i="2"/>
  <c r="M41" i="2"/>
  <c r="N41" i="2"/>
  <c r="S41" i="2"/>
  <c r="T41" i="2"/>
  <c r="U41" i="2"/>
  <c r="AC41" i="2"/>
  <c r="AD41" i="2"/>
  <c r="O170" i="2"/>
  <c r="Q170" i="2"/>
  <c r="P170" i="2"/>
  <c r="R170" i="2" s="1"/>
  <c r="S170" i="2" s="1"/>
  <c r="T170" i="2" s="1"/>
  <c r="U170" i="2" s="1"/>
  <c r="V170" i="2" s="1"/>
  <c r="W170" i="2" s="1"/>
  <c r="X170" i="2" s="1"/>
  <c r="Z170" i="2" s="1"/>
  <c r="O89" i="2"/>
  <c r="P89" i="2"/>
  <c r="R89" i="2" s="1"/>
  <c r="Q89" i="2"/>
  <c r="O8" i="2"/>
  <c r="P8" i="2"/>
  <c r="Q8" i="2"/>
  <c r="Q80" i="2"/>
  <c r="P80" i="2"/>
  <c r="O80" i="2"/>
  <c r="R80" i="2"/>
  <c r="S80" i="2"/>
  <c r="T80" i="2"/>
  <c r="U80" i="2"/>
  <c r="R71" i="2"/>
  <c r="S71" i="2"/>
  <c r="T71" i="2"/>
  <c r="U71" i="2"/>
  <c r="V71" i="2"/>
  <c r="J158" i="2"/>
  <c r="H158" i="2"/>
  <c r="L158" i="2"/>
  <c r="M158" i="2"/>
  <c r="N158" i="2"/>
  <c r="O78" i="2"/>
  <c r="P78" i="2"/>
  <c r="R78" i="2" s="1"/>
  <c r="S78" i="2" s="1"/>
  <c r="T78" i="2" s="1"/>
  <c r="U78" i="2" s="1"/>
  <c r="V78" i="2" s="1"/>
  <c r="W78" i="2" s="1"/>
  <c r="X78" i="2" s="1"/>
  <c r="O83" i="2"/>
  <c r="R83" i="2"/>
  <c r="Q83" i="2"/>
  <c r="S83" i="2" s="1"/>
  <c r="T83" i="2" s="1"/>
  <c r="U83" i="2" s="1"/>
  <c r="O92" i="2"/>
  <c r="R92" i="2"/>
  <c r="Q92" i="2"/>
  <c r="S92" i="2" s="1"/>
  <c r="T92" i="2" s="1"/>
  <c r="U92" i="2" s="1"/>
  <c r="V92" i="2" s="1"/>
  <c r="W92" i="2" s="1"/>
  <c r="X92" i="2" s="1"/>
  <c r="Y92" i="2" s="1"/>
  <c r="R168" i="2"/>
  <c r="R164" i="2"/>
  <c r="K156" i="2"/>
  <c r="M156" i="2"/>
  <c r="N156" i="2"/>
  <c r="J156" i="2"/>
  <c r="J48" i="2"/>
  <c r="K48" i="2"/>
  <c r="M48" i="2"/>
  <c r="N48" i="2"/>
  <c r="M73" i="2"/>
  <c r="N73" i="2"/>
  <c r="S73" i="2"/>
  <c r="T73" i="2"/>
  <c r="U73" i="2"/>
  <c r="V73" i="2"/>
  <c r="W73" i="2"/>
  <c r="X73" i="2"/>
  <c r="Y73" i="2"/>
  <c r="Q167" i="2"/>
  <c r="S167" i="2"/>
  <c r="T167" i="2"/>
  <c r="U167" i="2"/>
  <c r="AC167" i="2"/>
  <c r="O65" i="2"/>
  <c r="P65" i="2"/>
  <c r="R65" i="2" s="1"/>
  <c r="S65" i="2" s="1"/>
  <c r="T65" i="2" s="1"/>
  <c r="U65" i="2" s="1"/>
  <c r="V65" i="2" s="1"/>
  <c r="W65" i="2" s="1"/>
  <c r="X65" i="2" s="1"/>
  <c r="Y65" i="2" s="1"/>
  <c r="O82" i="2"/>
  <c r="P82" i="2"/>
  <c r="R82" i="2" s="1"/>
  <c r="S82" i="2" s="1"/>
  <c r="T82" i="2" s="1"/>
  <c r="U82" i="2" s="1"/>
  <c r="V82" i="2" s="1"/>
  <c r="W82" i="2" s="1"/>
  <c r="O169" i="2"/>
  <c r="P169" i="2"/>
  <c r="R169" i="2" s="1"/>
  <c r="S169" i="2" s="1"/>
  <c r="T169" i="2" s="1"/>
  <c r="U169" i="2" s="1"/>
  <c r="O165" i="2"/>
  <c r="P165" i="2"/>
  <c r="R165" i="2" s="1"/>
  <c r="S165" i="2" s="1"/>
  <c r="T165" i="2" s="1"/>
  <c r="U165" i="2" s="1"/>
  <c r="O7" i="2"/>
  <c r="R7" i="2"/>
  <c r="Q7" i="2"/>
  <c r="S7" i="2" s="1"/>
  <c r="T7" i="2" s="1"/>
  <c r="U7" i="2" s="1"/>
  <c r="V7" i="2" s="1"/>
  <c r="W7" i="2" s="1"/>
  <c r="X7" i="2" s="1"/>
  <c r="Y7" i="2" s="1"/>
  <c r="Q164" i="2"/>
  <c r="S164" i="2" s="1"/>
  <c r="T164" i="2" s="1"/>
  <c r="U164" i="2" s="1"/>
  <c r="AC164" i="2" s="1"/>
  <c r="AD164" i="2" s="1"/>
  <c r="M62" i="2"/>
  <c r="N62" i="2"/>
  <c r="S62" i="2"/>
  <c r="T62" i="2"/>
  <c r="U62" i="2"/>
  <c r="V62" i="2"/>
  <c r="Q168" i="2"/>
  <c r="S168" i="2" s="1"/>
  <c r="T168" i="2" s="1"/>
  <c r="U168" i="2" s="1"/>
  <c r="V168" i="2" s="1"/>
  <c r="W168" i="2" s="1"/>
  <c r="X168" i="2" s="1"/>
  <c r="Y168" i="2" s="1"/>
  <c r="J68" i="2"/>
  <c r="J6" i="2"/>
  <c r="K115" i="2"/>
  <c r="M115" i="2"/>
  <c r="N115" i="2"/>
  <c r="S115" i="2"/>
  <c r="T115" i="2"/>
  <c r="U115" i="2"/>
  <c r="V115" i="2"/>
  <c r="H67" i="2"/>
  <c r="L67" i="2"/>
  <c r="M67" i="2" s="1"/>
  <c r="N67" i="2" s="1"/>
  <c r="S67" i="2" s="1"/>
  <c r="T67" i="2" s="1"/>
  <c r="U67" i="2" s="1"/>
  <c r="AC67" i="2" s="1"/>
  <c r="H64" i="2"/>
  <c r="L64" i="2"/>
  <c r="M64" i="2"/>
  <c r="N64" i="2"/>
  <c r="K107" i="2"/>
  <c r="M107" i="2"/>
  <c r="N107" i="2"/>
  <c r="K117" i="2"/>
  <c r="J72" i="2"/>
  <c r="J110" i="2"/>
  <c r="J58" i="2"/>
  <c r="J64" i="2"/>
  <c r="O108" i="2"/>
  <c r="R108" i="2"/>
  <c r="S108" i="2"/>
  <c r="T108" i="2"/>
  <c r="U108" i="2"/>
  <c r="J107" i="2"/>
  <c r="J37" i="2"/>
  <c r="H105" i="2"/>
  <c r="L105" i="2"/>
  <c r="M105" i="2"/>
  <c r="N105" i="2"/>
  <c r="S105" i="2"/>
  <c r="T105" i="2"/>
  <c r="U105" i="2"/>
  <c r="AC105" i="2"/>
  <c r="J103" i="2"/>
  <c r="H26" i="2"/>
  <c r="L26" i="2"/>
  <c r="M26" i="2"/>
  <c r="N26" i="2"/>
  <c r="S26" i="2"/>
  <c r="T26" i="2"/>
  <c r="U26" i="2"/>
  <c r="AC26" i="2"/>
  <c r="AD26" i="2"/>
  <c r="P77" i="2"/>
  <c r="R77" i="2"/>
  <c r="S77" i="2"/>
  <c r="T77" i="2"/>
  <c r="U77" i="2"/>
  <c r="H72" i="2"/>
  <c r="L72" i="2"/>
  <c r="M72" i="2"/>
  <c r="N72" i="2"/>
  <c r="H117" i="2"/>
  <c r="L117" i="2"/>
  <c r="M117" i="2" s="1"/>
  <c r="N117" i="2" s="1"/>
  <c r="S117" i="2" s="1"/>
  <c r="T117" i="2" s="1"/>
  <c r="U117" i="2" s="1"/>
  <c r="AC117" i="2" s="1"/>
  <c r="K114" i="2"/>
  <c r="M114" i="2"/>
  <c r="N114" i="2"/>
  <c r="S114" i="2"/>
  <c r="T114" i="2"/>
  <c r="U114" i="2"/>
  <c r="AC114" i="2"/>
  <c r="AD114" i="2"/>
  <c r="V67" i="2"/>
  <c r="W67" i="2"/>
  <c r="X67" i="2"/>
  <c r="P103" i="2"/>
  <c r="O103" i="2"/>
  <c r="R103" i="2"/>
  <c r="Q103" i="2"/>
  <c r="O72" i="2"/>
  <c r="P72" i="2"/>
  <c r="Q72" i="2"/>
  <c r="V164" i="2"/>
  <c r="W164" i="2"/>
  <c r="X164" i="2"/>
  <c r="R8" i="2"/>
  <c r="S8" i="2"/>
  <c r="T8" i="2"/>
  <c r="U8" i="2"/>
  <c r="V8" i="2"/>
  <c r="R166" i="2"/>
  <c r="S166" i="2"/>
  <c r="T166" i="2"/>
  <c r="U166" i="2"/>
  <c r="Y30" i="2"/>
  <c r="AD125" i="2"/>
  <c r="Z109" i="2"/>
  <c r="AA109" i="2"/>
  <c r="AB109" i="2"/>
  <c r="Z57" i="2"/>
  <c r="AA57" i="2"/>
  <c r="AE3" i="2"/>
  <c r="AE134" i="2"/>
  <c r="AD87" i="2"/>
  <c r="Y160" i="2"/>
  <c r="Y12" i="2"/>
  <c r="Z12" i="2"/>
  <c r="AA12" i="2"/>
  <c r="AA122" i="2"/>
  <c r="AB122" i="2"/>
  <c r="V117" i="2"/>
  <c r="W117" i="2"/>
  <c r="X117" i="2"/>
  <c r="Y117" i="2"/>
  <c r="W62" i="2"/>
  <c r="X62" i="2"/>
  <c r="P48" i="2"/>
  <c r="O48" i="2"/>
  <c r="R48" i="2"/>
  <c r="Q48" i="2"/>
  <c r="S48" i="2" s="1"/>
  <c r="T48" i="2" s="1"/>
  <c r="U48" i="2" s="1"/>
  <c r="AC83" i="2"/>
  <c r="AD83" i="2"/>
  <c r="V83" i="2"/>
  <c r="W83" i="2"/>
  <c r="X83" i="2"/>
  <c r="P158" i="2"/>
  <c r="O158" i="2"/>
  <c r="R158" i="2"/>
  <c r="Q158" i="2"/>
  <c r="S158" i="2" s="1"/>
  <c r="T158" i="2" s="1"/>
  <c r="U158" i="2" s="1"/>
  <c r="V158" i="2" s="1"/>
  <c r="W158" i="2" s="1"/>
  <c r="X158" i="2" s="1"/>
  <c r="V112" i="2"/>
  <c r="W112" i="2"/>
  <c r="X112" i="2"/>
  <c r="Z112" i="2"/>
  <c r="Y143" i="2"/>
  <c r="AA143" i="2"/>
  <c r="AB143" i="2"/>
  <c r="AD79" i="2"/>
  <c r="AE79" i="2"/>
  <c r="AE75" i="2"/>
  <c r="AE20" i="2"/>
  <c r="Z154" i="2"/>
  <c r="AA154" i="2"/>
  <c r="AB154" i="2"/>
  <c r="AD132" i="2"/>
  <c r="AE132" i="2"/>
  <c r="Z140" i="2"/>
  <c r="Y140" i="2"/>
  <c r="Z13" i="2"/>
  <c r="AA13" i="2"/>
  <c r="Z19" i="2"/>
  <c r="Y19" i="2"/>
  <c r="AD144" i="2"/>
  <c r="AE144" i="2"/>
  <c r="AE160" i="2"/>
  <c r="AD12" i="2"/>
  <c r="AE12" i="2"/>
  <c r="V105" i="2"/>
  <c r="W105" i="2"/>
  <c r="X105" i="2"/>
  <c r="Z105" i="2"/>
  <c r="O64" i="2"/>
  <c r="P64" i="2"/>
  <c r="R64" i="2" s="1"/>
  <c r="Q64" i="2"/>
  <c r="AC115" i="2"/>
  <c r="W115" i="2"/>
  <c r="X115" i="2"/>
  <c r="Z115" i="2"/>
  <c r="V169" i="2"/>
  <c r="W169" i="2"/>
  <c r="X169" i="2"/>
  <c r="Z169" i="2"/>
  <c r="AC169" i="2"/>
  <c r="AD169" i="2"/>
  <c r="O37" i="2"/>
  <c r="Q37" i="2"/>
  <c r="P37" i="2"/>
  <c r="P58" i="2"/>
  <c r="O58" i="2"/>
  <c r="Q58" i="2"/>
  <c r="Q6" i="2"/>
  <c r="P6" i="2"/>
  <c r="O6" i="2"/>
  <c r="R6" i="2"/>
  <c r="Q156" i="2"/>
  <c r="O156" i="2"/>
  <c r="P156" i="2"/>
  <c r="W71" i="2"/>
  <c r="X71" i="2"/>
  <c r="Z71" i="2"/>
  <c r="AC71" i="2"/>
  <c r="AD143" i="2"/>
  <c r="AE143" i="2"/>
  <c r="Y79" i="2"/>
  <c r="AD9" i="2"/>
  <c r="AE9" i="2"/>
  <c r="Z127" i="2"/>
  <c r="Y127" i="2"/>
  <c r="AD154" i="2"/>
  <c r="AE154" i="2"/>
  <c r="Y47" i="2"/>
  <c r="AD140" i="2"/>
  <c r="AE140" i="2"/>
  <c r="AD13" i="2"/>
  <c r="AE13" i="2"/>
  <c r="AE19" i="2"/>
  <c r="Z90" i="2"/>
  <c r="AA90" i="2"/>
  <c r="AB90" i="2"/>
  <c r="Y144" i="2"/>
  <c r="AA144" i="2"/>
  <c r="AB144" i="2"/>
  <c r="Y135" i="2"/>
  <c r="AA135" i="2"/>
  <c r="AB135" i="2"/>
  <c r="V26" i="2"/>
  <c r="W26" i="2"/>
  <c r="X26" i="2"/>
  <c r="O107" i="2"/>
  <c r="Q107" i="2"/>
  <c r="P107" i="2"/>
  <c r="P110" i="2"/>
  <c r="O110" i="2"/>
  <c r="R110" i="2"/>
  <c r="Q110" i="2"/>
  <c r="Q68" i="2"/>
  <c r="O68" i="2"/>
  <c r="P68" i="2"/>
  <c r="AC165" i="2"/>
  <c r="V165" i="2"/>
  <c r="W165" i="2"/>
  <c r="X165" i="2"/>
  <c r="Y165" i="2"/>
  <c r="X82" i="2"/>
  <c r="Z82" i="2"/>
  <c r="AC92" i="2"/>
  <c r="AD92" i="2"/>
  <c r="AC78" i="2"/>
  <c r="AE50" i="2"/>
  <c r="Y163" i="2"/>
  <c r="AA163" i="2"/>
  <c r="AB163" i="2"/>
  <c r="AD30" i="2"/>
  <c r="AE30" i="2"/>
  <c r="Y125" i="2"/>
  <c r="Z125" i="2"/>
  <c r="AA125" i="2"/>
  <c r="AB125" i="2"/>
  <c r="Y136" i="2"/>
  <c r="Z136" i="2"/>
  <c r="AD109" i="2"/>
  <c r="AE109" i="2"/>
  <c r="AD57" i="2"/>
  <c r="AE57" i="2"/>
  <c r="Y3" i="2"/>
  <c r="Y134" i="2"/>
  <c r="Z87" i="2"/>
  <c r="Y87" i="2"/>
  <c r="AE135" i="2"/>
  <c r="AD135" i="2"/>
  <c r="AA104" i="2"/>
  <c r="AB104" i="2"/>
  <c r="Y71" i="2"/>
  <c r="AA71" i="2" s="1"/>
  <c r="AB71" i="2" s="1"/>
  <c r="Y115" i="2"/>
  <c r="AD112" i="2"/>
  <c r="AE112" i="2"/>
  <c r="AC8" i="2"/>
  <c r="W8" i="2"/>
  <c r="X8" i="2"/>
  <c r="Y170" i="2"/>
  <c r="AD165" i="2"/>
  <c r="AE165" i="2" s="1"/>
  <c r="AD115" i="2"/>
  <c r="S103" i="2"/>
  <c r="T103" i="2"/>
  <c r="U103" i="2"/>
  <c r="V103" i="2"/>
  <c r="Z67" i="2"/>
  <c r="Y67" i="2"/>
  <c r="AA67" i="2" s="1"/>
  <c r="AB67" i="2" s="1"/>
  <c r="Z165" i="2"/>
  <c r="AA165" i="2"/>
  <c r="AB165" i="2"/>
  <c r="AA87" i="2"/>
  <c r="AB87" i="2"/>
  <c r="Y82" i="2"/>
  <c r="AA82" i="2"/>
  <c r="AB82" i="2"/>
  <c r="S110" i="2"/>
  <c r="T110" i="2"/>
  <c r="U110" i="2"/>
  <c r="R107" i="2"/>
  <c r="S107" i="2"/>
  <c r="T107" i="2"/>
  <c r="U107" i="2"/>
  <c r="AA47" i="2"/>
  <c r="AB47" i="2"/>
  <c r="R156" i="2"/>
  <c r="S156" i="2"/>
  <c r="T156" i="2"/>
  <c r="U156" i="2"/>
  <c r="AC156" i="2"/>
  <c r="S6" i="2"/>
  <c r="T6" i="2"/>
  <c r="U6" i="2"/>
  <c r="AE169" i="2"/>
  <c r="AD105" i="2"/>
  <c r="AE105" i="2"/>
  <c r="AA140" i="2"/>
  <c r="AB140" i="2"/>
  <c r="AE41" i="2"/>
  <c r="Y62" i="2"/>
  <c r="Z62" i="2"/>
  <c r="AA62" i="2"/>
  <c r="AB62" i="2"/>
  <c r="AE164" i="2"/>
  <c r="AD67" i="2"/>
  <c r="AE67" i="2"/>
  <c r="AE26" i="2"/>
  <c r="AA3" i="2"/>
  <c r="AB3" i="2"/>
  <c r="R68" i="2"/>
  <c r="S68" i="2"/>
  <c r="T68" i="2"/>
  <c r="U68" i="2"/>
  <c r="AC68" i="2"/>
  <c r="AD68" i="2"/>
  <c r="AE68" i="2"/>
  <c r="AA79" i="2"/>
  <c r="AB79" i="2"/>
  <c r="AD71" i="2"/>
  <c r="AE71" i="2"/>
  <c r="R58" i="2"/>
  <c r="S58" i="2"/>
  <c r="T58" i="2"/>
  <c r="U58" i="2"/>
  <c r="R37" i="2"/>
  <c r="S37" i="2"/>
  <c r="T37" i="2"/>
  <c r="U37" i="2"/>
  <c r="AC37" i="2"/>
  <c r="AB13" i="2"/>
  <c r="AE83" i="2"/>
  <c r="AB12" i="2"/>
  <c r="AC166" i="2"/>
  <c r="V166" i="2"/>
  <c r="W166" i="2"/>
  <c r="X166" i="2"/>
  <c r="Y164" i="2"/>
  <c r="Z164" i="2"/>
  <c r="R72" i="2"/>
  <c r="S72" i="2"/>
  <c r="T72" i="2"/>
  <c r="U72" i="2"/>
  <c r="AC72" i="2"/>
  <c r="V156" i="2"/>
  <c r="W156" i="2"/>
  <c r="X156" i="2"/>
  <c r="W103" i="2"/>
  <c r="X103" i="2"/>
  <c r="Z103" i="2"/>
  <c r="AC103" i="2"/>
  <c r="AD103" i="2"/>
  <c r="AD8" i="2"/>
  <c r="AE8" i="2"/>
  <c r="AC107" i="2"/>
  <c r="V107" i="2"/>
  <c r="W107" i="2"/>
  <c r="X107" i="2"/>
  <c r="Z107" i="2"/>
  <c r="AC110" i="2"/>
  <c r="V110" i="2"/>
  <c r="W110" i="2"/>
  <c r="X110" i="2"/>
  <c r="AD107" i="2"/>
  <c r="AE107" i="2"/>
  <c r="Y103" i="2"/>
  <c r="AD110" i="2"/>
  <c r="AE110" i="2"/>
  <c r="AD156" i="2"/>
  <c r="AE156" i="2"/>
  <c r="V58" i="2"/>
  <c r="W58" i="2"/>
  <c r="X58" i="2"/>
  <c r="AC58" i="2"/>
  <c r="AD58" i="2"/>
  <c r="AD167" i="2"/>
  <c r="AE167" i="2" s="1"/>
  <c r="Z26" i="2"/>
  <c r="Y26" i="2"/>
  <c r="Y8" i="2"/>
  <c r="Z8" i="2"/>
  <c r="Y158" i="2"/>
  <c r="Z158" i="2"/>
  <c r="AC49" i="2"/>
  <c r="V49" i="2"/>
  <c r="W49" i="2"/>
  <c r="X49" i="2"/>
  <c r="V150" i="2"/>
  <c r="W150" i="2"/>
  <c r="X150" i="2"/>
  <c r="AC150" i="2"/>
  <c r="AC46" i="2"/>
  <c r="V46" i="2"/>
  <c r="W46" i="2"/>
  <c r="X46" i="2"/>
  <c r="AC42" i="2"/>
  <c r="V42" i="2"/>
  <c r="W42" i="2"/>
  <c r="X42" i="2"/>
  <c r="V133" i="2"/>
  <c r="W133" i="2"/>
  <c r="X133" i="2"/>
  <c r="AC133" i="2"/>
  <c r="V120" i="2"/>
  <c r="W120" i="2"/>
  <c r="X120" i="2"/>
  <c r="AC120" i="2"/>
  <c r="V130" i="2"/>
  <c r="W130" i="2"/>
  <c r="X130" i="2"/>
  <c r="AC130" i="2"/>
  <c r="AC157" i="2"/>
  <c r="V157" i="2"/>
  <c r="W157" i="2"/>
  <c r="X157" i="2"/>
  <c r="AC55" i="2"/>
  <c r="V55" i="2"/>
  <c r="W55" i="2"/>
  <c r="X55" i="2"/>
  <c r="Z55" i="2"/>
  <c r="V68" i="2"/>
  <c r="W68" i="2"/>
  <c r="X68" i="2"/>
  <c r="AA164" i="2"/>
  <c r="AB164" i="2"/>
  <c r="AE92" i="2"/>
  <c r="Z7" i="2"/>
  <c r="AA7" i="2"/>
  <c r="AB7" i="2"/>
  <c r="V167" i="2"/>
  <c r="W167" i="2"/>
  <c r="X167" i="2"/>
  <c r="AC168" i="2"/>
  <c r="V114" i="2"/>
  <c r="W114" i="2"/>
  <c r="X114" i="2"/>
  <c r="Y114" i="2"/>
  <c r="AC65" i="2"/>
  <c r="AC73" i="2"/>
  <c r="AD73" i="2"/>
  <c r="AE73" i="2"/>
  <c r="AA160" i="2"/>
  <c r="AB160" i="2"/>
  <c r="Y148" i="2"/>
  <c r="Z148" i="2"/>
  <c r="V25" i="2"/>
  <c r="W25" i="2"/>
  <c r="X25" i="2"/>
  <c r="AC25" i="2"/>
  <c r="AC159" i="2"/>
  <c r="V159" i="2"/>
  <c r="W159" i="2"/>
  <c r="X159" i="2"/>
  <c r="V99" i="2"/>
  <c r="W99" i="2"/>
  <c r="X99" i="2"/>
  <c r="AC99" i="2"/>
  <c r="Z145" i="2"/>
  <c r="Y145" i="2"/>
  <c r="AA145" i="2" s="1"/>
  <c r="AB145" i="2" s="1"/>
  <c r="V2" i="2"/>
  <c r="W2" i="2"/>
  <c r="X2" i="2"/>
  <c r="AC2" i="2"/>
  <c r="AC59" i="2"/>
  <c r="V59" i="2"/>
  <c r="W59" i="2"/>
  <c r="X59" i="2"/>
  <c r="AC45" i="2"/>
  <c r="V45" i="2"/>
  <c r="W45" i="2"/>
  <c r="X45" i="2"/>
  <c r="AC43" i="2"/>
  <c r="AD43" i="2"/>
  <c r="V43" i="2"/>
  <c r="W43" i="2"/>
  <c r="X43" i="2"/>
  <c r="AD166" i="2"/>
  <c r="AE166" i="2" s="1"/>
  <c r="Z65" i="2"/>
  <c r="AA65" i="2"/>
  <c r="AB65" i="2"/>
  <c r="Y106" i="2"/>
  <c r="AA106" i="2"/>
  <c r="AB106" i="2"/>
  <c r="AA115" i="2"/>
  <c r="AB115" i="2"/>
  <c r="AA170" i="2"/>
  <c r="AB170" i="2"/>
  <c r="Z124" i="2"/>
  <c r="Y124" i="2"/>
  <c r="AC33" i="2"/>
  <c r="V33" i="2"/>
  <c r="W33" i="2"/>
  <c r="X33" i="2"/>
  <c r="V128" i="2"/>
  <c r="W128" i="2"/>
  <c r="X128" i="2"/>
  <c r="AC128" i="2"/>
  <c r="V28" i="2"/>
  <c r="W28" i="2"/>
  <c r="X28" i="2"/>
  <c r="AC28" i="2"/>
  <c r="AD91" i="2"/>
  <c r="AE91" i="2"/>
  <c r="Z147" i="2"/>
  <c r="Y147" i="2"/>
  <c r="AC146" i="2"/>
  <c r="V146" i="2"/>
  <c r="W146" i="2"/>
  <c r="X146" i="2"/>
  <c r="V138" i="2"/>
  <c r="W138" i="2"/>
  <c r="X138" i="2"/>
  <c r="AC138" i="2"/>
  <c r="Z20" i="2"/>
  <c r="Y20" i="2"/>
  <c r="AA20" i="2"/>
  <c r="AB20" i="2"/>
  <c r="V17" i="2"/>
  <c r="W17" i="2"/>
  <c r="X17" i="2"/>
  <c r="AC17" i="2"/>
  <c r="AC97" i="2"/>
  <c r="V97" i="2"/>
  <c r="W97" i="2"/>
  <c r="X97" i="2"/>
  <c r="AD96" i="2"/>
  <c r="AE96" i="2"/>
  <c r="AC14" i="2"/>
  <c r="V14" i="2"/>
  <c r="W14" i="2"/>
  <c r="X14" i="2"/>
  <c r="V161" i="2"/>
  <c r="W161" i="2"/>
  <c r="X161" i="2"/>
  <c r="Z161" i="2"/>
  <c r="AC161" i="2"/>
  <c r="AC10" i="2"/>
  <c r="V10" i="2"/>
  <c r="W10" i="2"/>
  <c r="X10" i="2"/>
  <c r="Z10" i="2"/>
  <c r="AC171" i="2"/>
  <c r="V171" i="2"/>
  <c r="W171" i="2"/>
  <c r="X171" i="2"/>
  <c r="AC113" i="2"/>
  <c r="AD113" i="2"/>
  <c r="V113" i="2"/>
  <c r="W113" i="2"/>
  <c r="X113" i="2"/>
  <c r="Y113" i="2"/>
  <c r="AC152" i="2"/>
  <c r="V152" i="2"/>
  <c r="W152" i="2"/>
  <c r="X152" i="2"/>
  <c r="AA103" i="2"/>
  <c r="AB103" i="2"/>
  <c r="AE103" i="2"/>
  <c r="Y112" i="2"/>
  <c r="AA112" i="2"/>
  <c r="AB112" i="2"/>
  <c r="AA136" i="2"/>
  <c r="AB136" i="2"/>
  <c r="AA127" i="2"/>
  <c r="AB127" i="2"/>
  <c r="AE115" i="2"/>
  <c r="AC7" i="2"/>
  <c r="V80" i="2"/>
  <c r="W80" i="2"/>
  <c r="X80" i="2"/>
  <c r="AC80" i="2"/>
  <c r="Z123" i="2"/>
  <c r="Y123" i="2"/>
  <c r="AA123" i="2" s="1"/>
  <c r="AB123" i="2" s="1"/>
  <c r="AC40" i="2"/>
  <c r="V40" i="2"/>
  <c r="W40" i="2"/>
  <c r="X40" i="2"/>
  <c r="AC44" i="2"/>
  <c r="V44" i="2"/>
  <c r="W44" i="2"/>
  <c r="X44" i="2"/>
  <c r="Z155" i="2"/>
  <c r="Y155" i="2"/>
  <c r="Z9" i="2"/>
  <c r="Y9" i="2"/>
  <c r="AA9" i="2" s="1"/>
  <c r="AB9" i="2" s="1"/>
  <c r="Z16" i="2"/>
  <c r="Y16" i="2"/>
  <c r="AC85" i="2"/>
  <c r="AD85" i="2"/>
  <c r="V85" i="2"/>
  <c r="W85" i="2"/>
  <c r="X85" i="2"/>
  <c r="AC131" i="2"/>
  <c r="V131" i="2"/>
  <c r="W131" i="2"/>
  <c r="X131" i="2"/>
  <c r="V151" i="2"/>
  <c r="W151" i="2"/>
  <c r="X151" i="2"/>
  <c r="AC151" i="2"/>
  <c r="AD153" i="2"/>
  <c r="AE153" i="2"/>
  <c r="AC70" i="2"/>
  <c r="V70" i="2"/>
  <c r="W70" i="2"/>
  <c r="X70" i="2"/>
  <c r="AE87" i="2"/>
  <c r="Y29" i="2"/>
  <c r="AA29" i="2"/>
  <c r="AB29" i="2"/>
  <c r="AA15" i="2"/>
  <c r="AB15" i="2"/>
  <c r="AA53" i="2"/>
  <c r="AB53" i="2"/>
  <c r="G9" i="6"/>
  <c r="AD37" i="2"/>
  <c r="AE37" i="2"/>
  <c r="Z58" i="2"/>
  <c r="Y58" i="2"/>
  <c r="Z114" i="2"/>
  <c r="Y83" i="2"/>
  <c r="Z83" i="2"/>
  <c r="Y78" i="2"/>
  <c r="Z78" i="2"/>
  <c r="AA78" i="2"/>
  <c r="AB78" i="2"/>
  <c r="Y156" i="2"/>
  <c r="Z156" i="2"/>
  <c r="AA156" i="2"/>
  <c r="AB156" i="2"/>
  <c r="Y166" i="2"/>
  <c r="Z166" i="2"/>
  <c r="V6" i="2"/>
  <c r="W6" i="2"/>
  <c r="X6" i="2"/>
  <c r="AC6" i="2"/>
  <c r="AD117" i="2"/>
  <c r="AE117" i="2"/>
  <c r="Y110" i="2"/>
  <c r="Z110" i="2"/>
  <c r="AA110" i="2"/>
  <c r="AB110" i="2"/>
  <c r="AD72" i="2"/>
  <c r="AE72" i="2"/>
  <c r="V48" i="2"/>
  <c r="W48" i="2"/>
  <c r="X48" i="2"/>
  <c r="AC48" i="2"/>
  <c r="AE114" i="2"/>
  <c r="AC77" i="2"/>
  <c r="V77" i="2"/>
  <c r="W77" i="2"/>
  <c r="X77" i="2"/>
  <c r="AC108" i="2"/>
  <c r="V108" i="2"/>
  <c r="W108" i="2"/>
  <c r="X108" i="2"/>
  <c r="AA30" i="2"/>
  <c r="AB30" i="2"/>
  <c r="Z132" i="2"/>
  <c r="Y132" i="2"/>
  <c r="AA132" i="2" s="1"/>
  <c r="AB132" i="2" s="1"/>
  <c r="AD99" i="2"/>
  <c r="AE99" i="2"/>
  <c r="AA158" i="2"/>
  <c r="AB158" i="2"/>
  <c r="Z159" i="2"/>
  <c r="Y159" i="2"/>
  <c r="AE113" i="2"/>
  <c r="AA8" i="2"/>
  <c r="AB8" i="2"/>
  <c r="Y107" i="2"/>
  <c r="AA107" i="2"/>
  <c r="AB107" i="2"/>
  <c r="AE58" i="2"/>
  <c r="V37" i="2"/>
  <c r="W37" i="2"/>
  <c r="X37" i="2"/>
  <c r="V72" i="2"/>
  <c r="W72" i="2"/>
  <c r="X72" i="2"/>
  <c r="Y105" i="2"/>
  <c r="AA105" i="2"/>
  <c r="AB105" i="2"/>
  <c r="AC170" i="2"/>
  <c r="Y133" i="2"/>
  <c r="Z133" i="2"/>
  <c r="AA133" i="2"/>
  <c r="AB133" i="2"/>
  <c r="Z75" i="2"/>
  <c r="Y75" i="2"/>
  <c r="Z5" i="2"/>
  <c r="Y5" i="2"/>
  <c r="Z92" i="2"/>
  <c r="AA92" i="2"/>
  <c r="AB92" i="2"/>
  <c r="Z168" i="2"/>
  <c r="AA168" i="2"/>
  <c r="AB168" i="2"/>
  <c r="Z117" i="2"/>
  <c r="AA117" i="2"/>
  <c r="AB117" i="2"/>
  <c r="Y169" i="2"/>
  <c r="AA169" i="2"/>
  <c r="AB169" i="2"/>
  <c r="AD78" i="2"/>
  <c r="AE78" i="2" s="1"/>
  <c r="Z73" i="2"/>
  <c r="AA73" i="2"/>
  <c r="AB73" i="2"/>
  <c r="AC158" i="2"/>
  <c r="AC82" i="2"/>
  <c r="AA19" i="2"/>
  <c r="AB19" i="2"/>
  <c r="Y96" i="2"/>
  <c r="AA96" i="2"/>
  <c r="AB96" i="2"/>
  <c r="V41" i="2"/>
  <c r="W41" i="2"/>
  <c r="X41" i="2"/>
  <c r="AC62" i="2"/>
  <c r="AE136" i="2"/>
  <c r="Y50" i="2"/>
  <c r="Z50" i="2"/>
  <c r="Y43" i="2"/>
  <c r="Z43" i="2"/>
  <c r="AA134" i="2"/>
  <c r="AB134" i="2"/>
  <c r="Z76" i="2"/>
  <c r="Y76" i="2"/>
  <c r="AE90" i="2"/>
  <c r="AE47" i="2"/>
  <c r="AE106" i="2"/>
  <c r="Y161" i="2"/>
  <c r="AA161" i="2"/>
  <c r="AB161" i="2"/>
  <c r="AE125" i="2"/>
  <c r="AA100" i="2"/>
  <c r="AB100" i="2"/>
  <c r="Y95" i="2"/>
  <c r="Z95" i="2"/>
  <c r="Z21" i="2"/>
  <c r="Y21" i="2"/>
  <c r="Y24" i="2"/>
  <c r="Z24" i="2"/>
  <c r="Y152" i="2"/>
  <c r="Z152" i="2"/>
  <c r="AA152" i="2"/>
  <c r="AB152" i="2"/>
  <c r="Y4" i="2"/>
  <c r="Z4" i="2"/>
  <c r="Y31" i="2"/>
  <c r="Z31" i="2"/>
  <c r="AA31" i="2"/>
  <c r="AB31" i="2"/>
  <c r="AA155" i="2"/>
  <c r="AB155" i="2"/>
  <c r="B3" i="5"/>
  <c r="C3" i="5"/>
  <c r="D3" i="5"/>
  <c r="M18" i="1"/>
  <c r="B6" i="5"/>
  <c r="C6" i="5"/>
  <c r="D6" i="5"/>
  <c r="M24" i="1"/>
  <c r="B6" i="7"/>
  <c r="C6" i="7"/>
  <c r="D6" i="7"/>
  <c r="M24" i="6"/>
  <c r="B2" i="5"/>
  <c r="C2" i="5"/>
  <c r="D2" i="5"/>
  <c r="M16" i="1"/>
  <c r="B5" i="7"/>
  <c r="C5" i="7"/>
  <c r="D5" i="7"/>
  <c r="M22" i="6"/>
  <c r="Y98" i="2"/>
  <c r="AA98" i="2"/>
  <c r="AB98" i="2"/>
  <c r="Y55" i="2"/>
  <c r="AA55" i="2"/>
  <c r="AB55" i="2"/>
  <c r="Y11" i="2"/>
  <c r="AA11" i="2"/>
  <c r="AB11" i="2"/>
  <c r="B4" i="5"/>
  <c r="C4" i="5"/>
  <c r="D4" i="5"/>
  <c r="M20" i="1"/>
  <c r="Y70" i="2"/>
  <c r="Z70" i="2"/>
  <c r="AA70" i="2"/>
  <c r="AB70" i="2"/>
  <c r="AC56" i="2"/>
  <c r="V56" i="2"/>
  <c r="W56" i="2"/>
  <c r="X56" i="2"/>
  <c r="V18" i="2"/>
  <c r="W18" i="2"/>
  <c r="X18" i="2"/>
  <c r="AC18" i="2"/>
  <c r="AC36" i="2"/>
  <c r="V36" i="2"/>
  <c r="W36" i="2"/>
  <c r="X36" i="2"/>
  <c r="AE5" i="2"/>
  <c r="Y17" i="2"/>
  <c r="Z17" i="2"/>
  <c r="AC155" i="2"/>
  <c r="AC76" i="2"/>
  <c r="V84" i="2"/>
  <c r="W84" i="2"/>
  <c r="X84" i="2"/>
  <c r="AC84" i="2"/>
  <c r="AC100" i="2"/>
  <c r="V23" i="2"/>
  <c r="W23" i="2"/>
  <c r="X23" i="2"/>
  <c r="AC23" i="2"/>
  <c r="V34" i="2"/>
  <c r="W34" i="2"/>
  <c r="X34" i="2"/>
  <c r="AC34" i="2"/>
  <c r="V142" i="2"/>
  <c r="W142" i="2"/>
  <c r="X142" i="2"/>
  <c r="V116" i="2"/>
  <c r="W116" i="2"/>
  <c r="X116" i="2"/>
  <c r="AC116" i="2"/>
  <c r="AC27" i="2"/>
  <c r="V27" i="2"/>
  <c r="W27" i="2"/>
  <c r="X27" i="2"/>
  <c r="T162" i="2"/>
  <c r="U162" i="2"/>
  <c r="AC69" i="2"/>
  <c r="T52" i="2"/>
  <c r="U52" i="2"/>
  <c r="T102" i="2"/>
  <c r="U102" i="2"/>
  <c r="AC35" i="2"/>
  <c r="AC104" i="2"/>
  <c r="T61" i="2"/>
  <c r="U61" i="2"/>
  <c r="T101" i="2"/>
  <c r="U101" i="2"/>
  <c r="AC24" i="2"/>
  <c r="T54" i="2"/>
  <c r="U54" i="2"/>
  <c r="T111" i="2"/>
  <c r="U111" i="2"/>
  <c r="AC60" i="2"/>
  <c r="T38" i="2"/>
  <c r="U38" i="2"/>
  <c r="T118" i="2"/>
  <c r="U118" i="2"/>
  <c r="T137" i="2"/>
  <c r="U137" i="2"/>
  <c r="AC98" i="2"/>
  <c r="AC86" i="2"/>
  <c r="AC122" i="2"/>
  <c r="AC22" i="2"/>
  <c r="AC4" i="2"/>
  <c r="T149" i="2"/>
  <c r="U149" i="2"/>
  <c r="T88" i="2"/>
  <c r="U88" i="2"/>
  <c r="T126" i="2"/>
  <c r="U126" i="2"/>
  <c r="AC95" i="2"/>
  <c r="T81" i="2"/>
  <c r="U81" i="2"/>
  <c r="V81" i="2"/>
  <c r="W81" i="2"/>
  <c r="X81" i="2"/>
  <c r="AC129" i="2"/>
  <c r="T66" i="2"/>
  <c r="U66" i="2"/>
  <c r="T93" i="2"/>
  <c r="U93" i="2"/>
  <c r="AA114" i="2"/>
  <c r="AB114" i="2"/>
  <c r="AD70" i="2"/>
  <c r="AE70" i="2"/>
  <c r="Y151" i="2"/>
  <c r="Z151" i="2"/>
  <c r="AD44" i="2"/>
  <c r="AE44" i="2"/>
  <c r="Z14" i="2"/>
  <c r="Y14" i="2"/>
  <c r="AA14" i="2" s="1"/>
  <c r="AB14" i="2" s="1"/>
  <c r="Y97" i="2"/>
  <c r="Z97" i="2"/>
  <c r="AA97" i="2"/>
  <c r="AB97" i="2"/>
  <c r="Y146" i="2"/>
  <c r="Z146" i="2"/>
  <c r="AD128" i="2"/>
  <c r="AE128" i="2" s="1"/>
  <c r="AD59" i="2"/>
  <c r="AE59" i="2"/>
  <c r="AD159" i="2"/>
  <c r="AE159" i="2"/>
  <c r="AD130" i="2"/>
  <c r="AE130" i="2"/>
  <c r="AD133" i="2"/>
  <c r="AE133" i="2"/>
  <c r="Y46" i="2"/>
  <c r="Z46" i="2"/>
  <c r="AA46" i="2" s="1"/>
  <c r="AB46" i="2" s="1"/>
  <c r="Y49" i="2"/>
  <c r="Z49" i="2"/>
  <c r="AA49" i="2"/>
  <c r="AB49" i="2"/>
  <c r="Y10" i="2"/>
  <c r="Y131" i="2"/>
  <c r="Z131" i="2"/>
  <c r="AA131" i="2"/>
  <c r="AB131" i="2"/>
  <c r="Y40" i="2"/>
  <c r="Z40" i="2"/>
  <c r="AD80" i="2"/>
  <c r="AE80" i="2"/>
  <c r="AD10" i="2"/>
  <c r="AE10" i="2"/>
  <c r="AD14" i="2"/>
  <c r="AE14" i="2"/>
  <c r="AD97" i="2"/>
  <c r="AE97" i="2"/>
  <c r="AD146" i="2"/>
  <c r="AE146" i="2"/>
  <c r="Y128" i="2"/>
  <c r="Z128" i="2"/>
  <c r="AA128" i="2"/>
  <c r="AB128" i="2"/>
  <c r="AA124" i="2"/>
  <c r="AB124" i="2"/>
  <c r="Z45" i="2"/>
  <c r="Y45" i="2"/>
  <c r="AA45" i="2"/>
  <c r="AB45" i="2"/>
  <c r="AD2" i="2"/>
  <c r="AE2" i="2"/>
  <c r="AD25" i="2"/>
  <c r="AE25" i="2"/>
  <c r="AD168" i="2"/>
  <c r="AE168" i="2" s="1"/>
  <c r="AD55" i="2"/>
  <c r="AE55" i="2"/>
  <c r="Y130" i="2"/>
  <c r="Z130" i="2"/>
  <c r="AD46" i="2"/>
  <c r="AE46" i="2"/>
  <c r="AD49" i="2"/>
  <c r="AE49" i="2"/>
  <c r="AE85" i="2"/>
  <c r="B5" i="5"/>
  <c r="C5" i="5"/>
  <c r="D5" i="5"/>
  <c r="M22" i="1"/>
  <c r="B2" i="7"/>
  <c r="C2" i="7"/>
  <c r="D2" i="7"/>
  <c r="M16" i="6"/>
  <c r="B4" i="7"/>
  <c r="C4" i="7"/>
  <c r="D4" i="7"/>
  <c r="M20" i="6"/>
  <c r="B3" i="7"/>
  <c r="C3" i="7"/>
  <c r="D3" i="7"/>
  <c r="M18" i="6"/>
  <c r="N28" i="6"/>
  <c r="AD131" i="2"/>
  <c r="AE131" i="2" s="1"/>
  <c r="AA16" i="2"/>
  <c r="AB16" i="2"/>
  <c r="AD40" i="2"/>
  <c r="AE40" i="2"/>
  <c r="Y80" i="2"/>
  <c r="Z80" i="2"/>
  <c r="Y171" i="2"/>
  <c r="Z171" i="2"/>
  <c r="AA171" i="2"/>
  <c r="AB171" i="2"/>
  <c r="AD161" i="2"/>
  <c r="AE161" i="2" s="1"/>
  <c r="AD17" i="2"/>
  <c r="AE17" i="2"/>
  <c r="AD138" i="2"/>
  <c r="AE138" i="2"/>
  <c r="AD28" i="2"/>
  <c r="AE28" i="2" s="1"/>
  <c r="Y33" i="2"/>
  <c r="Z33" i="2"/>
  <c r="AA33" i="2"/>
  <c r="AB33" i="2"/>
  <c r="AD45" i="2"/>
  <c r="AE45" i="2"/>
  <c r="Z2" i="2"/>
  <c r="Y2" i="2"/>
  <c r="AA2" i="2"/>
  <c r="AB2" i="2"/>
  <c r="Y99" i="2"/>
  <c r="Z99" i="2"/>
  <c r="AA99" i="2"/>
  <c r="AB99" i="2"/>
  <c r="Z25" i="2"/>
  <c r="Y25" i="2"/>
  <c r="AA25" i="2"/>
  <c r="AB25" i="2"/>
  <c r="Z167" i="2"/>
  <c r="Y167" i="2"/>
  <c r="Y68" i="2"/>
  <c r="Z68" i="2"/>
  <c r="AA68" i="2"/>
  <c r="AB68" i="2"/>
  <c r="Y157" i="2"/>
  <c r="Z157" i="2"/>
  <c r="AA157" i="2"/>
  <c r="AB157" i="2"/>
  <c r="AD120" i="2"/>
  <c r="AE120" i="2"/>
  <c r="Z42" i="2"/>
  <c r="Y42" i="2"/>
  <c r="AD150" i="2"/>
  <c r="AE150" i="2"/>
  <c r="AE43" i="2"/>
  <c r="AA43" i="2"/>
  <c r="AB43" i="2"/>
  <c r="Z113" i="2"/>
  <c r="AA113" i="2"/>
  <c r="AB113" i="2"/>
  <c r="AA75" i="2"/>
  <c r="AB75" i="2"/>
  <c r="AA58" i="2"/>
  <c r="AB58" i="2"/>
  <c r="AD151" i="2"/>
  <c r="AE151" i="2"/>
  <c r="Z85" i="2"/>
  <c r="Y85" i="2"/>
  <c r="Z44" i="2"/>
  <c r="Y44" i="2"/>
  <c r="AA44" i="2" s="1"/>
  <c r="AB44" i="2" s="1"/>
  <c r="AD7" i="2"/>
  <c r="AE7" i="2"/>
  <c r="AD152" i="2"/>
  <c r="AE152" i="2"/>
  <c r="AD171" i="2"/>
  <c r="AE171" i="2" s="1"/>
  <c r="Y138" i="2"/>
  <c r="Z138" i="2"/>
  <c r="AA147" i="2"/>
  <c r="AB147" i="2"/>
  <c r="Y28" i="2"/>
  <c r="Z28" i="2"/>
  <c r="AA28" i="2"/>
  <c r="AB28" i="2"/>
  <c r="AD33" i="2"/>
  <c r="AE33" i="2"/>
  <c r="Y59" i="2"/>
  <c r="Z59" i="2"/>
  <c r="AA59" i="2"/>
  <c r="AB59" i="2"/>
  <c r="AA148" i="2"/>
  <c r="AB148" i="2"/>
  <c r="AD65" i="2"/>
  <c r="AE65" i="2"/>
  <c r="AD157" i="2"/>
  <c r="AE157" i="2" s="1"/>
  <c r="Y120" i="2"/>
  <c r="Z120" i="2"/>
  <c r="AA120" i="2"/>
  <c r="AB120" i="2"/>
  <c r="AD42" i="2"/>
  <c r="AE42" i="2"/>
  <c r="Y150" i="2"/>
  <c r="Z150" i="2"/>
  <c r="AA150" i="2"/>
  <c r="AB150" i="2"/>
  <c r="AA26" i="2"/>
  <c r="AB26" i="2"/>
  <c r="AC66" i="2"/>
  <c r="V66" i="2"/>
  <c r="W66" i="2"/>
  <c r="X66" i="2"/>
  <c r="AC111" i="2"/>
  <c r="V111" i="2"/>
  <c r="W111" i="2"/>
  <c r="X111" i="2"/>
  <c r="AC52" i="2"/>
  <c r="V52" i="2"/>
  <c r="W52" i="2"/>
  <c r="X52" i="2"/>
  <c r="Z142" i="2"/>
  <c r="Y142" i="2"/>
  <c r="AD84" i="2"/>
  <c r="AE84" i="2"/>
  <c r="AA17" i="2"/>
  <c r="AB17" i="2"/>
  <c r="AD36" i="2"/>
  <c r="AE36" i="2"/>
  <c r="AD56" i="2"/>
  <c r="AE56" i="2"/>
  <c r="N28" i="1"/>
  <c r="N27" i="1"/>
  <c r="Y41" i="2"/>
  <c r="Z41" i="2"/>
  <c r="AD82" i="2"/>
  <c r="AE82" i="2"/>
  <c r="Z37" i="2"/>
  <c r="Y37" i="2"/>
  <c r="AA37" i="2" s="1"/>
  <c r="AB37" i="2" s="1"/>
  <c r="AD108" i="2"/>
  <c r="AE108" i="2"/>
  <c r="AA83" i="2"/>
  <c r="AB83" i="2"/>
  <c r="AD129" i="2"/>
  <c r="AE129" i="2"/>
  <c r="V54" i="2"/>
  <c r="W54" i="2"/>
  <c r="X54" i="2"/>
  <c r="AC54" i="2"/>
  <c r="AD27" i="2"/>
  <c r="AE27" i="2"/>
  <c r="AD170" i="2"/>
  <c r="AE170" i="2"/>
  <c r="Z77" i="2"/>
  <c r="Y77" i="2"/>
  <c r="AD48" i="2"/>
  <c r="AE48" i="2"/>
  <c r="AD6" i="2"/>
  <c r="AE6" i="2"/>
  <c r="AD22" i="2"/>
  <c r="AE22" i="2"/>
  <c r="AC61" i="2"/>
  <c r="V61" i="2"/>
  <c r="W61" i="2"/>
  <c r="X61" i="2"/>
  <c r="Z27" i="2"/>
  <c r="Y27" i="2"/>
  <c r="V88" i="2"/>
  <c r="W88" i="2"/>
  <c r="X88" i="2"/>
  <c r="AC88" i="2"/>
  <c r="AC118" i="2"/>
  <c r="V118" i="2"/>
  <c r="W118" i="2"/>
  <c r="X118" i="2"/>
  <c r="AD69" i="2"/>
  <c r="AE69" i="2"/>
  <c r="AD23" i="2"/>
  <c r="AE23" i="2"/>
  <c r="Y81" i="2"/>
  <c r="Z81" i="2"/>
  <c r="AA81" i="2"/>
  <c r="AB81" i="2"/>
  <c r="AC149" i="2"/>
  <c r="V149" i="2"/>
  <c r="W149" i="2"/>
  <c r="X149" i="2"/>
  <c r="AC38" i="2"/>
  <c r="V38" i="2"/>
  <c r="W38" i="2"/>
  <c r="X38" i="2"/>
  <c r="AD35" i="2"/>
  <c r="AE35" i="2"/>
  <c r="AC81" i="2"/>
  <c r="AD76" i="2"/>
  <c r="AE76" i="2"/>
  <c r="Y18" i="2"/>
  <c r="Z18" i="2"/>
  <c r="AA18" i="2"/>
  <c r="AB18" i="2"/>
  <c r="AA10" i="2"/>
  <c r="AB10" i="2"/>
  <c r="AA76" i="2"/>
  <c r="AB76" i="2"/>
  <c r="AD158" i="2"/>
  <c r="AE158" i="2"/>
  <c r="AD77" i="2"/>
  <c r="AE77" i="2"/>
  <c r="Y48" i="2"/>
  <c r="Z48" i="2"/>
  <c r="AA48" i="2"/>
  <c r="AB48" i="2"/>
  <c r="Y6" i="2"/>
  <c r="Z6" i="2"/>
  <c r="V126" i="2"/>
  <c r="W126" i="2"/>
  <c r="X126" i="2"/>
  <c r="AC126" i="2"/>
  <c r="V137" i="2"/>
  <c r="W137" i="2"/>
  <c r="X137" i="2"/>
  <c r="AC137" i="2"/>
  <c r="AD122" i="2"/>
  <c r="AE122" i="2"/>
  <c r="AD104" i="2"/>
  <c r="AE104" i="2"/>
  <c r="AD34" i="2"/>
  <c r="AE34" i="2"/>
  <c r="Z84" i="2"/>
  <c r="Y84" i="2"/>
  <c r="AD18" i="2"/>
  <c r="AE18" i="2"/>
  <c r="AD86" i="2"/>
  <c r="AE86" i="2"/>
  <c r="AD24" i="2"/>
  <c r="AE24" i="2"/>
  <c r="AD116" i="2"/>
  <c r="AE116" i="2"/>
  <c r="Z34" i="2"/>
  <c r="Y34" i="2"/>
  <c r="Y23" i="2"/>
  <c r="Z23" i="2"/>
  <c r="AC93" i="2"/>
  <c r="V93" i="2"/>
  <c r="W93" i="2"/>
  <c r="X93" i="2"/>
  <c r="AD95" i="2"/>
  <c r="AE95" i="2"/>
  <c r="AD4" i="2"/>
  <c r="AE4" i="2"/>
  <c r="AD98" i="2"/>
  <c r="AE98" i="2"/>
  <c r="AD60" i="2"/>
  <c r="AE60" i="2"/>
  <c r="AC101" i="2"/>
  <c r="V101" i="2"/>
  <c r="W101" i="2"/>
  <c r="X101" i="2"/>
  <c r="AC102" i="2"/>
  <c r="V102" i="2"/>
  <c r="W102" i="2"/>
  <c r="X102" i="2"/>
  <c r="V162" i="2"/>
  <c r="W162" i="2"/>
  <c r="X162" i="2"/>
  <c r="AC162" i="2"/>
  <c r="Z116" i="2"/>
  <c r="Y116" i="2"/>
  <c r="AD100" i="2"/>
  <c r="AE100" i="2"/>
  <c r="AD155" i="2"/>
  <c r="AE155" i="2"/>
  <c r="Y36" i="2"/>
  <c r="Z36" i="2"/>
  <c r="AA36" i="2"/>
  <c r="AB36" i="2"/>
  <c r="Y56" i="2"/>
  <c r="Z56" i="2"/>
  <c r="AA4" i="2"/>
  <c r="AB4" i="2"/>
  <c r="AA24" i="2"/>
  <c r="AB24" i="2"/>
  <c r="AA21" i="2"/>
  <c r="AB21" i="2"/>
  <c r="AA95" i="2"/>
  <c r="AB95" i="2"/>
  <c r="AA50" i="2"/>
  <c r="AB50" i="2"/>
  <c r="AD62" i="2"/>
  <c r="AE62" i="2"/>
  <c r="AA5" i="2"/>
  <c r="AB5" i="2"/>
  <c r="Z72" i="2"/>
  <c r="Y72" i="2"/>
  <c r="AA159" i="2"/>
  <c r="AB159" i="2"/>
  <c r="Z108" i="2"/>
  <c r="Y108" i="2"/>
  <c r="AA108" i="2" s="1"/>
  <c r="AB108" i="2" s="1"/>
  <c r="AA166" i="2"/>
  <c r="AB166" i="2"/>
  <c r="AA40" i="2"/>
  <c r="AB40" i="2"/>
  <c r="AA27" i="2"/>
  <c r="AB27" i="2"/>
  <c r="AA42" i="2"/>
  <c r="AB42" i="2"/>
  <c r="AA167" i="2"/>
  <c r="AB167" i="2"/>
  <c r="AA85" i="2"/>
  <c r="AB85" i="2"/>
  <c r="N27" i="6"/>
  <c r="AA84" i="2"/>
  <c r="AB84" i="2"/>
  <c r="AA138" i="2"/>
  <c r="AB138" i="2"/>
  <c r="AA80" i="2"/>
  <c r="AB80" i="2"/>
  <c r="AA130" i="2"/>
  <c r="AB130" i="2"/>
  <c r="AA146" i="2"/>
  <c r="AB146" i="2"/>
  <c r="AA151" i="2"/>
  <c r="AB151" i="2"/>
  <c r="Y38" i="2"/>
  <c r="Z38" i="2"/>
  <c r="AA38" i="2"/>
  <c r="AB38" i="2"/>
  <c r="AD88" i="2"/>
  <c r="AE88" i="2"/>
  <c r="Z61" i="2"/>
  <c r="Y61" i="2"/>
  <c r="AD54" i="2"/>
  <c r="AE54" i="2"/>
  <c r="Z111" i="2"/>
  <c r="Y111" i="2"/>
  <c r="Z102" i="2"/>
  <c r="Y102" i="2"/>
  <c r="Z93" i="2"/>
  <c r="Y93" i="2"/>
  <c r="AD81" i="2"/>
  <c r="AE81" i="2"/>
  <c r="AD38" i="2"/>
  <c r="AE38" i="2"/>
  <c r="Y88" i="2"/>
  <c r="Z88" i="2"/>
  <c r="AD61" i="2"/>
  <c r="AE61" i="2"/>
  <c r="AA77" i="2"/>
  <c r="AB77" i="2"/>
  <c r="Z54" i="2"/>
  <c r="Y54" i="2"/>
  <c r="AA142" i="2"/>
  <c r="AB142" i="2"/>
  <c r="AD111" i="2"/>
  <c r="AE111" i="2"/>
  <c r="AD101" i="2"/>
  <c r="AE101" i="2"/>
  <c r="AD126" i="2"/>
  <c r="AE126" i="2"/>
  <c r="AA72" i="2"/>
  <c r="AB72" i="2"/>
  <c r="AA116" i="2"/>
  <c r="AB116" i="2"/>
  <c r="AD102" i="2"/>
  <c r="AE102" i="2"/>
  <c r="AD93" i="2"/>
  <c r="AE93" i="2"/>
  <c r="AA34" i="2"/>
  <c r="AB34" i="2"/>
  <c r="Y126" i="2"/>
  <c r="Z126" i="2"/>
  <c r="Y149" i="2"/>
  <c r="Z149" i="2"/>
  <c r="AA149" i="2"/>
  <c r="AB149" i="2"/>
  <c r="Z118" i="2"/>
  <c r="Y118" i="2"/>
  <c r="Y52" i="2"/>
  <c r="Z52" i="2"/>
  <c r="AA52" i="2"/>
  <c r="AB52" i="2"/>
  <c r="Y66" i="2"/>
  <c r="Z66" i="2"/>
  <c r="Z162" i="2"/>
  <c r="Y162" i="2"/>
  <c r="Y137" i="2"/>
  <c r="Z137" i="2"/>
  <c r="AA56" i="2"/>
  <c r="AB56" i="2"/>
  <c r="AD162" i="2"/>
  <c r="AE162" i="2"/>
  <c r="Y101" i="2"/>
  <c r="Z101" i="2"/>
  <c r="AA101" i="2"/>
  <c r="AB101" i="2"/>
  <c r="AA23" i="2"/>
  <c r="AB23" i="2"/>
  <c r="AD137" i="2"/>
  <c r="AE137" i="2"/>
  <c r="AA6" i="2"/>
  <c r="AB6" i="2"/>
  <c r="AD149" i="2"/>
  <c r="AE149" i="2"/>
  <c r="AD118" i="2"/>
  <c r="AE118" i="2"/>
  <c r="AA41" i="2"/>
  <c r="AB41" i="2"/>
  <c r="AD52" i="2"/>
  <c r="AE52" i="2"/>
  <c r="AD66" i="2"/>
  <c r="AE66" i="2"/>
  <c r="AA118" i="2"/>
  <c r="AB118" i="2"/>
  <c r="AA54" i="2"/>
  <c r="AB54" i="2"/>
  <c r="AA88" i="2"/>
  <c r="AB88" i="2"/>
  <c r="AA102" i="2"/>
  <c r="AB102" i="2"/>
  <c r="AA162" i="2"/>
  <c r="AB162" i="2"/>
  <c r="AA137" i="2"/>
  <c r="AB137" i="2"/>
  <c r="AA66" i="2"/>
  <c r="AB66" i="2"/>
  <c r="AA126" i="2"/>
  <c r="AB126" i="2"/>
  <c r="AA93" i="2"/>
  <c r="AB93" i="2"/>
  <c r="AA111" i="2"/>
  <c r="AB111" i="2"/>
  <c r="AA61" i="2"/>
  <c r="AB61" i="2"/>
  <c r="S64" i="2" l="1"/>
  <c r="T64" i="2" s="1"/>
  <c r="U64" i="2" s="1"/>
  <c r="S89" i="2"/>
  <c r="T89" i="2" s="1"/>
  <c r="U89" i="2" s="1"/>
  <c r="S51" i="2"/>
  <c r="T51" i="2" s="1"/>
  <c r="U51" i="2" s="1"/>
  <c r="AC51" i="2" l="1"/>
  <c r="V51" i="2"/>
  <c r="W51" i="2" s="1"/>
  <c r="X51" i="2" s="1"/>
  <c r="AC89" i="2"/>
  <c r="V89" i="2"/>
  <c r="W89" i="2" s="1"/>
  <c r="X89" i="2" s="1"/>
  <c r="V64" i="2"/>
  <c r="W64" i="2" s="1"/>
  <c r="X64" i="2" s="1"/>
  <c r="AC64" i="2"/>
  <c r="AD64" i="2" l="1"/>
  <c r="AE64" i="2"/>
  <c r="Y64" i="2"/>
  <c r="Z64" i="2"/>
  <c r="AA64" i="2" s="1"/>
  <c r="AB64" i="2" s="1"/>
  <c r="Y89" i="2"/>
  <c r="Z89" i="2"/>
  <c r="AA89" i="2" s="1"/>
  <c r="AB89" i="2" s="1"/>
  <c r="AD89" i="2"/>
  <c r="AE89" i="2"/>
  <c r="Z51" i="2"/>
  <c r="Y51" i="2"/>
  <c r="AD51" i="2"/>
  <c r="AE51" i="2"/>
  <c r="AA51" i="2" l="1"/>
  <c r="AB51" i="2" s="1"/>
</calcChain>
</file>

<file path=xl/sharedStrings.xml><?xml version="1.0" encoding="utf-8"?>
<sst xmlns="http://schemas.openxmlformats.org/spreadsheetml/2006/main" count="306" uniqueCount="257">
  <si>
    <t>°</t>
  </si>
  <si>
    <t>’</t>
  </si>
  <si>
    <t>"</t>
  </si>
  <si>
    <t>N/S or E/W</t>
  </si>
  <si>
    <t>Latitude</t>
  </si>
  <si>
    <t>S</t>
  </si>
  <si>
    <t>Longitude</t>
  </si>
  <si>
    <t>E</t>
  </si>
  <si>
    <t>(in hours)</t>
  </si>
  <si>
    <t>Band</t>
  </si>
  <si>
    <t>V</t>
  </si>
  <si>
    <t>Date</t>
  </si>
  <si>
    <t>Count time</t>
  </si>
  <si>
    <t>Gain</t>
  </si>
  <si>
    <t>Star</t>
  </si>
  <si>
    <t>R.A.</t>
  </si>
  <si>
    <t>Declination</t>
  </si>
  <si>
    <t>UT Date</t>
  </si>
  <si>
    <t>UT</t>
  </si>
  <si>
    <t>Count 1</t>
  </si>
  <si>
    <t>Count 2</t>
  </si>
  <si>
    <t>Count 3</t>
  </si>
  <si>
    <t>Average count</t>
  </si>
  <si>
    <t>Star count</t>
  </si>
  <si>
    <t>Empirical SNR</t>
  </si>
  <si>
    <t>airmass</t>
  </si>
  <si>
    <t>v-V</t>
  </si>
  <si>
    <r>
      <t>D</t>
    </r>
    <r>
      <rPr>
        <b/>
        <sz val="10"/>
        <rFont val="Arial"/>
        <family val="2"/>
      </rPr>
      <t>v</t>
    </r>
  </si>
  <si>
    <t>KSI2 CMA</t>
  </si>
  <si>
    <t>Star deflection</t>
  </si>
  <si>
    <t>Sky deflection</t>
  </si>
  <si>
    <t>60 ORI</t>
  </si>
  <si>
    <t>HD 55111</t>
  </si>
  <si>
    <t>HD 65900</t>
  </si>
  <si>
    <t>HD 76757</t>
  </si>
  <si>
    <t>kapV=</t>
  </si>
  <si>
    <t>R^2=</t>
  </si>
  <si>
    <t>B</t>
  </si>
  <si>
    <t>b-B</t>
  </si>
  <si>
    <t>∆b</t>
  </si>
  <si>
    <t>kapB=</t>
  </si>
  <si>
    <t>R.A. (2000.0)</t>
  </si>
  <si>
    <t>Decl (2000.0)</t>
  </si>
  <si>
    <t>B-V</t>
  </si>
  <si>
    <t>U-B</t>
  </si>
  <si>
    <t>Julian date</t>
  </si>
  <si>
    <t>JD at 0 UT</t>
  </si>
  <si>
    <t>H</t>
  </si>
  <si>
    <t>D</t>
  </si>
  <si>
    <t>D at 0 UT</t>
  </si>
  <si>
    <t>T</t>
  </si>
  <si>
    <t>GMST</t>
  </si>
  <si>
    <t>GMST (0-24)</t>
  </si>
  <si>
    <t>W</t>
  </si>
  <si>
    <t>L</t>
  </si>
  <si>
    <t>e</t>
  </si>
  <si>
    <t>Dy</t>
  </si>
  <si>
    <t>GAST</t>
  </si>
  <si>
    <t>LST</t>
  </si>
  <si>
    <t>LST (0-24)</t>
  </si>
  <si>
    <t>LHA (h)</t>
  </si>
  <si>
    <t>LHA (°)</t>
  </si>
  <si>
    <t>LHA (0-360°)</t>
  </si>
  <si>
    <t>numerator</t>
  </si>
  <si>
    <t>denominator</t>
  </si>
  <si>
    <t>azimuth</t>
  </si>
  <si>
    <t>Azimuth</t>
  </si>
  <si>
    <t>Altitude</t>
  </si>
  <si>
    <t>sec</t>
  </si>
  <si>
    <t>HD 34968</t>
  </si>
  <si>
    <t>Date of first order extinction determination</t>
  </si>
  <si>
    <t>HD 32309</t>
  </si>
  <si>
    <t>Time of first order extinction determination</t>
  </si>
  <si>
    <t>ksi2 Cma</t>
  </si>
  <si>
    <t>the Lep</t>
  </si>
  <si>
    <t>HD 39421</t>
  </si>
  <si>
    <t>49 Ori</t>
  </si>
  <si>
    <t>HD 42536</t>
  </si>
  <si>
    <t>HD 45830</t>
  </si>
  <si>
    <t>HD 39927</t>
  </si>
  <si>
    <t>HD 16754</t>
  </si>
  <si>
    <t>HD 36058</t>
  </si>
  <si>
    <t>HD 44756</t>
  </si>
  <si>
    <t>HD 25910</t>
  </si>
  <si>
    <t>HD 73634</t>
  </si>
  <si>
    <t>HD 42824</t>
  </si>
  <si>
    <t>HD 31739</t>
  </si>
  <si>
    <t>HD 30321</t>
  </si>
  <si>
    <t>HD 74272</t>
  </si>
  <si>
    <t>xsi Eri</t>
  </si>
  <si>
    <t>HD 65810</t>
  </si>
  <si>
    <t>60 Ori</t>
  </si>
  <si>
    <t>zet Hyi</t>
  </si>
  <si>
    <t>HD 34317</t>
  </si>
  <si>
    <t>eps Hyi</t>
  </si>
  <si>
    <t>HD 42111</t>
  </si>
  <si>
    <t>38 Ori</t>
  </si>
  <si>
    <t>del Hyi</t>
  </si>
  <si>
    <t>phi Phe</t>
  </si>
  <si>
    <t>alf Vol</t>
  </si>
  <si>
    <t>del Mon</t>
  </si>
  <si>
    <t>del Pyx</t>
  </si>
  <si>
    <t>HD 35656</t>
  </si>
  <si>
    <t>HD 53205</t>
  </si>
  <si>
    <t>HD 50062</t>
  </si>
  <si>
    <t>HD 28978</t>
  </si>
  <si>
    <t>HD 52479</t>
  </si>
  <si>
    <t>14 Mon</t>
  </si>
  <si>
    <t>pi2 Ori</t>
  </si>
  <si>
    <t>rho Cet</t>
  </si>
  <si>
    <t>pi1 Ori</t>
  </si>
  <si>
    <t>HD 50931</t>
  </si>
  <si>
    <t>HD 18543</t>
  </si>
  <si>
    <t>eta Phe</t>
  </si>
  <si>
    <t>HD 18331</t>
  </si>
  <si>
    <t>HD 91375</t>
  </si>
  <si>
    <t>HD 73997</t>
  </si>
  <si>
    <t>HD 13936</t>
  </si>
  <si>
    <t>HD 72660</t>
  </si>
  <si>
    <t>lam1 Phe</t>
  </si>
  <si>
    <t>HD 14417</t>
  </si>
  <si>
    <t>68 Tau</t>
  </si>
  <si>
    <t>del Hya</t>
  </si>
  <si>
    <t>HD 95370</t>
  </si>
  <si>
    <t>4.38</t>
  </si>
  <si>
    <t>HD 9484</t>
  </si>
  <si>
    <t>60 Cet</t>
  </si>
  <si>
    <t>kap Tau</t>
  </si>
  <si>
    <t>34 Hya</t>
  </si>
  <si>
    <t>rho Hya</t>
  </si>
  <si>
    <t>xi2 Cet</t>
  </si>
  <si>
    <t>37 Cnc</t>
  </si>
  <si>
    <t>HD 222095</t>
  </si>
  <si>
    <t>136 Tau</t>
  </si>
  <si>
    <t>HD 79108</t>
  </si>
  <si>
    <t>tau2 Hya</t>
  </si>
  <si>
    <t>zet Ari</t>
  </si>
  <si>
    <t>17 Sex</t>
  </si>
  <si>
    <t>del Scl</t>
  </si>
  <si>
    <t>7 Sex</t>
  </si>
  <si>
    <t>phi Gem</t>
  </si>
  <si>
    <t>89 Psc</t>
  </si>
  <si>
    <t>bet Crt</t>
  </si>
  <si>
    <t>alf Sex</t>
  </si>
  <si>
    <t>gam Cnc</t>
  </si>
  <si>
    <t>2 Cet</t>
  </si>
  <si>
    <t>HD 90763</t>
  </si>
  <si>
    <t>ome2 Aqr</t>
  </si>
  <si>
    <t>25 Psc</t>
  </si>
  <si>
    <t>mu PsA</t>
  </si>
  <si>
    <t>HD 219402</t>
  </si>
  <si>
    <t>sig Aqr</t>
  </si>
  <si>
    <t>ups Psc</t>
  </si>
  <si>
    <t>HD 217186</t>
  </si>
  <si>
    <t>gam Tri</t>
  </si>
  <si>
    <t>rho Peg</t>
  </si>
  <si>
    <t>HD 210419</t>
  </si>
  <si>
    <t>58 And</t>
  </si>
  <si>
    <t>pi Per</t>
  </si>
  <si>
    <t>the Cap</t>
  </si>
  <si>
    <t>HD 211287</t>
  </si>
  <si>
    <t>the And</t>
  </si>
  <si>
    <t>sig And</t>
  </si>
  <si>
    <t>the Cas</t>
  </si>
  <si>
    <t>50 Cas</t>
  </si>
  <si>
    <t>HD 19275</t>
  </si>
  <si>
    <t>32 Per</t>
  </si>
  <si>
    <t>gam Cam</t>
  </si>
  <si>
    <t>lam Per</t>
  </si>
  <si>
    <t>B Per</t>
  </si>
  <si>
    <t>HD 42818</t>
  </si>
  <si>
    <t>2 Lyn</t>
  </si>
  <si>
    <t>16 Lyn</t>
  </si>
  <si>
    <t>HD 56169</t>
  </si>
  <si>
    <t>21 Lyn</t>
  </si>
  <si>
    <t>24 Lyn</t>
  </si>
  <si>
    <t>27 Lyn</t>
  </si>
  <si>
    <t>26 UMa</t>
  </si>
  <si>
    <t>21 LMi</t>
  </si>
  <si>
    <t>ome UMa</t>
  </si>
  <si>
    <t>60 Leo</t>
  </si>
  <si>
    <t>69 Leo</t>
  </si>
  <si>
    <t>sig Leo</t>
  </si>
  <si>
    <t>55 UMa</t>
  </si>
  <si>
    <t>4 Vir</t>
  </si>
  <si>
    <t>7 Vir</t>
  </si>
  <si>
    <t>pi Vir</t>
  </si>
  <si>
    <t>23 Com</t>
  </si>
  <si>
    <t>HD 109860</t>
  </si>
  <si>
    <t>rho Vir</t>
  </si>
  <si>
    <t>HD 115709</t>
  </si>
  <si>
    <t>HD 116160</t>
  </si>
  <si>
    <t>80 UMa</t>
  </si>
  <si>
    <t>24 CVn</t>
  </si>
  <si>
    <t>tau Vir</t>
  </si>
  <si>
    <t>HD 140775</t>
  </si>
  <si>
    <t>pi Ser</t>
  </si>
  <si>
    <t>15 Dra</t>
  </si>
  <si>
    <t>sig Her</t>
  </si>
  <si>
    <t>60 Her</t>
  </si>
  <si>
    <t>69 Her</t>
  </si>
  <si>
    <t>68 Oph</t>
  </si>
  <si>
    <t>del Umi</t>
  </si>
  <si>
    <t>39 Dra</t>
  </si>
  <si>
    <t>111 Her</t>
  </si>
  <si>
    <t>HD 174240</t>
  </si>
  <si>
    <t>HD 180782</t>
  </si>
  <si>
    <t>pi Dra</t>
  </si>
  <si>
    <t>zet Sge</t>
  </si>
  <si>
    <t>13 Vul</t>
  </si>
  <si>
    <t>rho Aql</t>
  </si>
  <si>
    <t>30 Cyg</t>
  </si>
  <si>
    <t>29 Cyg</t>
  </si>
  <si>
    <t>33 Cyg</t>
  </si>
  <si>
    <t>HD 195922</t>
  </si>
  <si>
    <t>zet Del</t>
  </si>
  <si>
    <t>29 Vul</t>
  </si>
  <si>
    <t>6 Equ</t>
  </si>
  <si>
    <t>3 Peg</t>
  </si>
  <si>
    <t>11 Peg</t>
  </si>
  <si>
    <t>omi Peg</t>
  </si>
  <si>
    <t>HD 119537</t>
  </si>
  <si>
    <t>HD 124931</t>
  </si>
  <si>
    <t>psi Cen</t>
  </si>
  <si>
    <t>HD 129685</t>
  </si>
  <si>
    <t>bet Cir</t>
  </si>
  <si>
    <t>HD 137058</t>
  </si>
  <si>
    <t>50 Lib</t>
  </si>
  <si>
    <t>psi Sco</t>
  </si>
  <si>
    <t>HD 146624</t>
  </si>
  <si>
    <t>nu Ser</t>
  </si>
  <si>
    <t>51 Oph</t>
  </si>
  <si>
    <t>omi Ser</t>
  </si>
  <si>
    <t>gam Sct</t>
  </si>
  <si>
    <t>HD 171149</t>
  </si>
  <si>
    <t>14 Aql</t>
  </si>
  <si>
    <t>alf Cra</t>
  </si>
  <si>
    <t>52 Sgr</t>
  </si>
  <si>
    <t>nu Cap</t>
  </si>
  <si>
    <t>Source: Astronomical Photometry, Arne A. Henden &amp; Ronald H. Kaitchuck, Appendix A: First-Order Extinctions Stars, page 279-285</t>
  </si>
  <si>
    <t>https://aa.usno.navy.mil/faq/GAST</t>
  </si>
  <si>
    <t>https://aa.usno.navy.mil/faq/alt_az</t>
  </si>
  <si>
    <t>This spreadsheet helps you to calculate first order extinctions in the B- and V-band</t>
  </si>
  <si>
    <t>Data Entry-V sheet</t>
  </si>
  <si>
    <t>In cell B8 you fill in the degrees of latitude, in cell C8 you fill in the arcminutes of latitude, in cell D8 you fill in the arcseconds of latitude and in cell E8 you fill in "N" if you observe north of the equator and "S" if you observe south of the equator</t>
  </si>
  <si>
    <t>In cell B9 you fill in the degrees of longitude, in cell C9 you fill in the arcminutes of longitude, in cell D9 you fill in the arcseconds of longitude and in cell E9 you fill in "E" if you observe east of the prime meridian and "W" if you observe west of the prime meridian</t>
  </si>
  <si>
    <t>In cell B12 you fill in the UT Date. If the UT Date changes in the course of the observations, you can change the date in one of the cells E16-E25. The cells below the change will change accordingly</t>
  </si>
  <si>
    <t>Stars sheet</t>
  </si>
  <si>
    <t>In cell U2 you fill in the date, in cell U3 you fill in the expected time of your measurements</t>
  </si>
  <si>
    <t>The spreadsheet calculates the airmasses of all the suitable stars and the color codes the airmasses, green for airmasses between 1.00 and 2.00, yellow for airmasses between 2.00 and 2.50 and red for airmasses below 2.50</t>
  </si>
  <si>
    <t>Then you have to select 5 suitable stars over a range of airmasses between 1.00 and 2.00, preferably one with an airmass close to 2.00, one with an airmass close to 1.75, one with an airmass close to 1.50, one with an airmass close to 1.25 and the last one with an airmass close to 1.00</t>
  </si>
  <si>
    <t>Calculating the first order extinction in the V-band (kapV / k'V) and in the B-band (kapB / k'B)</t>
  </si>
  <si>
    <t>Fill in the selected stars in the order of observation in the "Data Entry-V" sheet, these stars will automatically be copied to the "Data Entry-B" sheet</t>
  </si>
  <si>
    <t>Fill in the times and the counts in cell E16 until H25. When you are done, the slope of the line in the diagram tells you the kapV (on the Data Entry-V sheet) and kapB (on the Data Entry-B-sheet). The correlation coefficient tells you how well the data points fit the line. The closer to 1, the better it is</t>
  </si>
  <si>
    <t>If one of the data points deviates a lot from the straight line, you can unlock the worksheet and remove that data point (for instance bij deleting the airmass of that point) and see if the result improves</t>
  </si>
  <si>
    <r>
      <t xml:space="preserve">Take care: you can't enter data in the </t>
    </r>
    <r>
      <rPr>
        <sz val="12"/>
        <color indexed="31"/>
        <rFont val="Arial"/>
        <family val="2"/>
      </rPr>
      <t>light purple</t>
    </r>
    <r>
      <rPr>
        <sz val="12"/>
        <rFont val="Arial"/>
        <family val="2"/>
      </rPr>
      <t xml:space="preserve"> parts!</t>
    </r>
  </si>
  <si>
    <t>Erwin van Ballegoij, May 27,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</si>
</sst>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00"/>
    <numFmt numFmtId="167" formatCode="#.0000"/>
    <numFmt numFmtId="168" formatCode="0.0000"/>
    <numFmt numFmtId="169" formatCode="0.00000"/>
    <numFmt numFmtId="170" formatCode="h:mm;@"/>
  </numFmts>
  <fonts count="27">
    <font>
      <sz val="10"/>
      <name val="Arial"/>
      <family val="2"/>
    </font>
    <font>
      <b/>
      <sz val="10"/>
      <name val="Arial"/>
      <family val="2"/>
    </font>
    <font>
      <sz val="10"/>
      <color indexed="31"/>
      <name val="Arial"/>
      <family val="2"/>
    </font>
    <font>
      <sz val="10"/>
      <color indexed="8"/>
      <name val="Arial"/>
      <family val="2"/>
    </font>
    <font>
      <b/>
      <sz val="10"/>
      <color indexed="8"/>
      <name val="Arial"/>
      <family val="2"/>
    </font>
    <font>
      <b/>
      <sz val="10"/>
      <name val="Symbol"/>
      <charset val="2"/>
    </font>
    <font>
      <sz val="10"/>
      <name val="Symbol"/>
      <charset val="2"/>
    </font>
    <font>
      <sz val="11"/>
      <name val="Arial"/>
      <family val="2"/>
    </font>
    <font>
      <sz val="12"/>
      <name val="Arial"/>
      <family val="2"/>
    </font>
    <font>
      <sz val="12"/>
      <color indexed="8"/>
      <name val="Arial"/>
      <family val="2"/>
    </font>
    <font>
      <sz val="8"/>
      <name val="Arial"/>
      <family val="2"/>
    </font>
    <font>
      <b/>
      <sz val="11"/>
      <name val="Arial"/>
      <family val="2"/>
    </font>
    <font>
      <sz val="12"/>
      <name val="Arial"/>
      <family val="2"/>
    </font>
    <font>
      <b/>
      <sz val="12"/>
      <name val="Arial"/>
      <family val="2"/>
    </font>
    <font>
      <i/>
      <sz val="12"/>
      <name val="Arial"/>
      <family val="2"/>
    </font>
    <font>
      <sz val="12"/>
      <color indexed="31"/>
      <name val="Arial"/>
      <family val="2"/>
    </font>
    <font>
      <sz val="14"/>
      <name val="Arial"/>
      <family val="2"/>
    </font>
    <font>
      <b/>
      <sz val="12"/>
      <name val="Symbol"/>
      <charset val="2"/>
    </font>
    <font>
      <u/>
      <sz val="10"/>
      <color theme="10"/>
      <name val="Arial"/>
      <family val="2"/>
    </font>
    <font>
      <sz val="10"/>
      <color theme="1"/>
      <name val="Arial"/>
      <family val="2"/>
    </font>
    <font>
      <sz val="12"/>
      <color theme="0"/>
      <name val="Arial"/>
      <family val="2"/>
    </font>
    <font>
      <i/>
      <sz val="12"/>
      <color theme="0"/>
      <name val="Arial"/>
      <family val="2"/>
    </font>
    <font>
      <b/>
      <sz val="12"/>
      <color theme="1"/>
      <name val="Arial"/>
      <family val="2"/>
    </font>
    <font>
      <sz val="12"/>
      <color theme="1"/>
      <name val="Arial"/>
      <family val="2"/>
    </font>
    <font>
      <sz val="10"/>
      <color rgb="FFCCCCFF"/>
      <name val="Arial"/>
      <family val="2"/>
    </font>
    <font>
      <b/>
      <sz val="10"/>
      <color theme="1"/>
      <name val="Arial"/>
      <family val="2"/>
    </font>
    <font>
      <sz val="10"/>
      <name val="Arial"/>
      <charset val="1"/>
    </font>
  </fonts>
  <fills count="31">
    <fill>
      <patternFill patternType="none"/>
    </fill>
    <fill>
      <patternFill patternType="gray125"/>
    </fill>
    <fill>
      <patternFill patternType="solid">
        <fgColor indexed="31"/>
        <bgColor indexed="22"/>
      </patternFill>
    </fill>
    <fill>
      <patternFill patternType="solid">
        <fgColor indexed="43"/>
        <bgColor indexed="26"/>
      </patternFill>
    </fill>
    <fill>
      <patternFill patternType="solid">
        <fgColor rgb="FFCCCCFF"/>
        <bgColor indexed="26"/>
      </patternFill>
    </fill>
    <fill>
      <patternFill patternType="solid">
        <fgColor rgb="FFCCCCFF"/>
        <bgColor indexed="64"/>
      </patternFill>
    </fill>
    <fill>
      <patternFill patternType="solid">
        <fgColor theme="5" tint="0.59999389629810485"/>
        <bgColor indexed="26"/>
      </patternFill>
    </fill>
    <fill>
      <patternFill patternType="solid">
        <fgColor theme="5" tint="0.59999389629810485"/>
        <bgColor indexed="22"/>
      </patternFill>
    </fill>
    <fill>
      <patternFill patternType="solid">
        <fgColor theme="2" tint="-0.249977111117893"/>
        <bgColor indexed="26"/>
      </patternFill>
    </fill>
    <fill>
      <patternFill patternType="solid">
        <fgColor theme="2" tint="-0.249977111117893"/>
        <bgColor indexed="22"/>
      </patternFill>
    </fill>
    <fill>
      <patternFill patternType="solid">
        <fgColor theme="6" tint="0.59999389629810485"/>
        <bgColor indexed="26"/>
      </patternFill>
    </fill>
    <fill>
      <patternFill patternType="solid">
        <fgColor theme="6" tint="0.59999389629810485"/>
        <bgColor indexed="22"/>
      </patternFill>
    </fill>
    <fill>
      <patternFill patternType="solid">
        <fgColor theme="9" tint="0.59999389629810485"/>
        <bgColor indexed="26"/>
      </patternFill>
    </fill>
    <fill>
      <patternFill patternType="solid">
        <fgColor theme="9" tint="0.59999389629810485"/>
        <bgColor indexed="22"/>
      </patternFill>
    </fill>
    <fill>
      <patternFill patternType="solid">
        <fgColor theme="8" tint="0.59999389629810485"/>
        <bgColor indexed="26"/>
      </patternFill>
    </fill>
    <fill>
      <patternFill patternType="solid">
        <fgColor theme="8" tint="0.59999389629810485"/>
        <bgColor indexed="22"/>
      </patternFill>
    </fill>
    <fill>
      <patternFill patternType="solid">
        <fgColor theme="2" tint="-0.249977111117893"/>
        <bgColor rgb="FFFFFFCC"/>
      </patternFill>
    </fill>
    <fill>
      <patternFill patternType="solid">
        <fgColor theme="6" tint="0.59999389629810485"/>
        <bgColor rgb="FFFFFFCC"/>
      </patternFill>
    </fill>
    <fill>
      <patternFill patternType="solid">
        <fgColor theme="9" tint="0.59999389629810485"/>
        <bgColor rgb="FFFFFFCC"/>
      </patternFill>
    </fill>
    <fill>
      <patternFill patternType="solid">
        <fgColor theme="8" tint="0.59999389629810485"/>
        <bgColor rgb="FFFFFFCC"/>
      </patternFill>
    </fill>
    <fill>
      <patternFill patternType="solid">
        <fgColor theme="5" tint="0.59999389629810485"/>
        <bgColor rgb="FFFFFFCC"/>
      </patternFill>
    </fill>
    <fill>
      <patternFill patternType="solid">
        <fgColor rgb="FFFFFF99"/>
        <bgColor indexed="64"/>
      </patternFill>
    </fill>
    <fill>
      <patternFill patternType="solid">
        <fgColor rgb="FFCCCCFF"/>
        <bgColor indexed="22"/>
      </patternFill>
    </fill>
    <fill>
      <patternFill patternType="solid">
        <fgColor theme="5" tint="0.59999389629810485"/>
        <bgColor rgb="FFC0C0C0"/>
      </patternFill>
    </fill>
    <fill>
      <patternFill patternType="solid">
        <fgColor rgb="FFCCCCFF"/>
        <bgColor rgb="FFC0C0C0"/>
      </patternFill>
    </fill>
    <fill>
      <patternFill patternType="solid">
        <fgColor theme="2" tint="-0.249977111117893"/>
        <bgColor rgb="FFC0C0C0"/>
      </patternFill>
    </fill>
    <fill>
      <patternFill patternType="solid">
        <fgColor theme="6" tint="0.59999389629810485"/>
        <bgColor rgb="FFC0C0C0"/>
      </patternFill>
    </fill>
    <fill>
      <patternFill patternType="solid">
        <fgColor theme="9" tint="0.59999389629810485"/>
        <bgColor rgb="FFC0C0C0"/>
      </patternFill>
    </fill>
    <fill>
      <patternFill patternType="solid">
        <fgColor theme="8" tint="0.59999389629810485"/>
        <bgColor rgb="FFC0C0C0"/>
      </patternFill>
    </fill>
    <fill>
      <patternFill patternType="solid">
        <fgColor rgb="FF00B0F0"/>
        <bgColor indexed="22"/>
      </patternFill>
    </fill>
    <fill>
      <patternFill patternType="solid">
        <fgColor rgb="FF92D050"/>
        <bgColor indexed="26"/>
      </patternFill>
    </fill>
  </fills>
  <borders count="49">
    <border>
      <left/>
      <right/>
      <top/>
      <bottom/>
      <diagonal/>
    </border>
    <border>
      <left style="hair">
        <color indexed="8"/>
      </left>
      <right style="hair">
        <color indexed="8"/>
      </right>
      <top style="hair">
        <color indexed="8"/>
      </top>
      <bottom/>
      <diagonal/>
    </border>
    <border>
      <left style="hair">
        <color indexed="8"/>
      </left>
      <right style="hair">
        <color indexed="8"/>
      </right>
      <top/>
      <bottom/>
      <diagonal/>
    </border>
    <border>
      <left style="hair">
        <color indexed="8"/>
      </left>
      <right/>
      <top/>
      <bottom/>
      <diagonal/>
    </border>
    <border>
      <left style="hair">
        <color indexed="64"/>
      </left>
      <right style="hair">
        <color indexed="64"/>
      </right>
      <top/>
      <bottom/>
      <diagonal/>
    </border>
    <border>
      <left style="hair">
        <color indexed="64"/>
      </left>
      <right style="hair">
        <color indexed="64"/>
      </right>
      <top style="hair">
        <color indexed="64"/>
      </top>
      <bottom style="dotted">
        <color indexed="64"/>
      </bottom>
      <diagonal/>
    </border>
    <border>
      <left style="hair">
        <color indexed="8"/>
      </left>
      <right style="hair">
        <color indexed="8"/>
      </right>
      <top style="hair">
        <color indexed="8"/>
      </top>
      <bottom style="hair">
        <color indexed="8"/>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style="hair">
        <color indexed="8"/>
      </right>
      <top style="hair">
        <color indexed="8"/>
      </top>
      <bottom/>
      <diagonal/>
    </border>
    <border>
      <left style="hair">
        <color indexed="8"/>
      </left>
      <right style="hair">
        <color indexed="8"/>
      </right>
      <top/>
      <bottom style="hair">
        <color indexed="8"/>
      </bottom>
      <diagonal/>
    </border>
    <border>
      <left style="hair">
        <color indexed="64"/>
      </left>
      <right style="hair">
        <color indexed="64"/>
      </right>
      <top/>
      <bottom style="hair">
        <color indexed="8"/>
      </bottom>
      <diagonal/>
    </border>
    <border>
      <left/>
      <right/>
      <top/>
      <bottom style="hair">
        <color indexed="8"/>
      </bottom>
      <diagonal/>
    </border>
    <border>
      <left/>
      <right style="hair">
        <color indexed="8"/>
      </right>
      <top/>
      <bottom style="hair">
        <color indexed="8"/>
      </bottom>
      <diagonal/>
    </border>
    <border>
      <left/>
      <right style="thin">
        <color indexed="64"/>
      </right>
      <top/>
      <bottom/>
      <diagonal/>
    </border>
    <border>
      <left style="thin">
        <color indexed="64"/>
      </left>
      <right style="thin">
        <color indexed="64"/>
      </right>
      <top/>
      <bottom/>
      <diagonal/>
    </border>
    <border>
      <left style="hair">
        <color indexed="64"/>
      </left>
      <right/>
      <top style="hair">
        <color indexed="64"/>
      </top>
      <bottom style="dotted">
        <color indexed="64"/>
      </bottom>
      <diagonal/>
    </border>
    <border>
      <left style="hair">
        <color indexed="8"/>
      </left>
      <right style="hair">
        <color indexed="64"/>
      </right>
      <top/>
      <bottom/>
      <diagonal/>
    </border>
    <border>
      <left style="hair">
        <color indexed="8"/>
      </left>
      <right style="hair">
        <color indexed="64"/>
      </right>
      <top/>
      <bottom style="dotted">
        <color indexed="8"/>
      </bottom>
      <diagonal/>
    </border>
    <border>
      <left style="hair">
        <color indexed="8"/>
      </left>
      <right style="hair">
        <color indexed="64"/>
      </right>
      <top style="dotted">
        <color indexed="8"/>
      </top>
      <bottom/>
      <diagonal/>
    </border>
    <border>
      <left style="hair">
        <color indexed="8"/>
      </left>
      <right style="hair">
        <color indexed="64"/>
      </right>
      <top style="hair">
        <color indexed="8"/>
      </top>
      <bottom/>
      <diagonal/>
    </border>
    <border>
      <left style="hair">
        <color indexed="8"/>
      </left>
      <right style="hair">
        <color indexed="64"/>
      </right>
      <top style="hair">
        <color indexed="8"/>
      </top>
      <bottom style="hair">
        <color indexed="8"/>
      </bottom>
      <diagonal/>
    </border>
    <border>
      <left/>
      <right style="hair">
        <color rgb="FF000000"/>
      </right>
      <top/>
      <bottom/>
      <diagonal/>
    </border>
    <border>
      <left/>
      <right style="hair">
        <color rgb="FF000000"/>
      </right>
      <top/>
      <bottom style="hair">
        <color indexed="8"/>
      </bottom>
      <diagonal/>
    </border>
    <border>
      <left/>
      <right style="hair">
        <color rgb="FF000000"/>
      </right>
      <top style="hair">
        <color rgb="FF000000"/>
      </top>
      <bottom/>
      <diagonal/>
    </border>
    <border>
      <left/>
      <right style="hair">
        <color rgb="FF000000"/>
      </right>
      <top/>
      <bottom style="hair">
        <color rgb="FF000000"/>
      </bottom>
      <diagonal/>
    </border>
    <border>
      <left/>
      <right style="hair">
        <color rgb="FF000000"/>
      </right>
      <top/>
      <bottom style="hair">
        <color theme="1"/>
      </bottom>
      <diagonal/>
    </border>
    <border>
      <left style="thin">
        <color theme="1"/>
      </left>
      <right style="thin">
        <color theme="1"/>
      </right>
      <top style="thin">
        <color theme="1"/>
      </top>
      <bottom style="thin">
        <color theme="1"/>
      </bottom>
      <diagonal/>
    </border>
    <border>
      <left style="hair">
        <color theme="1"/>
      </left>
      <right/>
      <top style="hair">
        <color theme="1"/>
      </top>
      <bottom/>
      <diagonal/>
    </border>
    <border>
      <left style="hair">
        <color theme="1"/>
      </left>
      <right/>
      <top/>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theme="1"/>
      </left>
      <right style="hair">
        <color rgb="FF000000"/>
      </right>
      <top style="hair">
        <color rgb="FF000000"/>
      </top>
      <bottom/>
      <diagonal/>
    </border>
    <border>
      <left style="hair">
        <color theme="1"/>
      </left>
      <right style="hair">
        <color rgb="FF000000"/>
      </right>
      <top/>
      <bottom style="hair">
        <color rgb="FF000000"/>
      </bottom>
      <diagonal/>
    </border>
    <border>
      <left style="hair">
        <color indexed="8"/>
      </left>
      <right style="hair">
        <color rgb="FF000000"/>
      </right>
      <top/>
      <bottom style="hair">
        <color indexed="8"/>
      </bottom>
      <diagonal/>
    </border>
    <border>
      <left style="hair">
        <color indexed="8"/>
      </left>
      <right style="hair">
        <color rgb="FF000000"/>
      </right>
      <top style="hair">
        <color indexed="8"/>
      </top>
      <bottom/>
      <diagonal/>
    </border>
    <border>
      <left style="hair">
        <color theme="1"/>
      </left>
      <right/>
      <top/>
      <bottom style="hair">
        <color theme="1"/>
      </bottom>
      <diagonal/>
    </border>
    <border>
      <left style="hair">
        <color theme="1"/>
      </left>
      <right style="hair">
        <color theme="1"/>
      </right>
      <top/>
      <bottom/>
      <diagonal/>
    </border>
    <border>
      <left style="hair">
        <color theme="1"/>
      </left>
      <right style="hair">
        <color theme="1"/>
      </right>
      <top style="hair">
        <color theme="1"/>
      </top>
      <bottom/>
      <diagonal/>
    </border>
    <border>
      <left style="hair">
        <color theme="1"/>
      </left>
      <right style="hair">
        <color theme="1"/>
      </right>
      <top/>
      <bottom style="hair">
        <color theme="1"/>
      </bottom>
      <diagonal/>
    </border>
    <border>
      <left style="hair">
        <color theme="1"/>
      </left>
      <right style="hair">
        <color rgb="FF000000"/>
      </right>
      <top style="hair">
        <color theme="1"/>
      </top>
      <bottom/>
      <diagonal/>
    </border>
    <border>
      <left style="hair">
        <color rgb="FF000000"/>
      </left>
      <right style="hair">
        <color indexed="8"/>
      </right>
      <top/>
      <bottom/>
      <diagonal/>
    </border>
    <border>
      <left/>
      <right/>
      <top/>
      <bottom style="hair">
        <color theme="1"/>
      </bottom>
      <diagonal/>
    </border>
    <border>
      <left style="hair">
        <color theme="1"/>
      </left>
      <right style="hair">
        <color rgb="FF000000"/>
      </right>
      <top/>
      <bottom style="hair">
        <color theme="1"/>
      </bottom>
      <diagonal/>
    </border>
    <border>
      <left/>
      <right style="hair">
        <color indexed="8"/>
      </right>
      <top style="hair">
        <color rgb="FF000000"/>
      </top>
      <bottom style="hair">
        <color rgb="FF000000"/>
      </bottom>
      <diagonal/>
    </border>
    <border>
      <left style="hair">
        <color indexed="8"/>
      </left>
      <right style="hair">
        <color indexed="8"/>
      </right>
      <top/>
      <bottom style="hair">
        <color rgb="FF000000"/>
      </bottom>
      <diagonal/>
    </border>
    <border>
      <left style="hair">
        <color indexed="64"/>
      </left>
      <right style="hair">
        <color indexed="64"/>
      </right>
      <top/>
      <bottom style="hair">
        <color rgb="FF000000"/>
      </bottom>
      <diagonal/>
    </border>
    <border>
      <left/>
      <right/>
      <top/>
      <bottom style="hair">
        <color rgb="FF000000"/>
      </bottom>
      <diagonal/>
    </border>
    <border>
      <left style="hair">
        <color indexed="8"/>
      </left>
      <right style="hair">
        <color rgb="FF000000"/>
      </right>
      <top/>
      <bottom style="hair">
        <color rgb="FF000000"/>
      </bottom>
      <diagonal/>
    </border>
  </borders>
  <cellStyleXfs count="2">
    <xf numFmtId="0" fontId="0" fillId="0" borderId="0"/>
    <xf numFmtId="0" fontId="18" fillId="0" borderId="0" applyNumberFormat="0" applyFill="0" applyBorder="0" applyAlignment="0" applyProtection="0"/>
  </cellStyleXfs>
  <cellXfs count="212">
    <xf numFmtId="0" fontId="0" fillId="0" borderId="0" xfId="0"/>
    <xf numFmtId="0" fontId="1" fillId="0" borderId="0" xfId="0" applyFont="1"/>
    <xf numFmtId="164" fontId="0" fillId="0" borderId="0" xfId="0" applyNumberFormat="1"/>
    <xf numFmtId="165" fontId="0" fillId="0" borderId="0" xfId="0" applyNumberFormat="1"/>
    <xf numFmtId="0" fontId="1" fillId="2" borderId="0" xfId="0" applyFont="1" applyFill="1"/>
    <xf numFmtId="0" fontId="0" fillId="2" borderId="0" xfId="0" applyFill="1"/>
    <xf numFmtId="164" fontId="0" fillId="2" borderId="0" xfId="0" applyNumberFormat="1" applyFill="1"/>
    <xf numFmtId="165" fontId="0" fillId="2" borderId="0" xfId="0" applyNumberFormat="1" applyFill="1"/>
    <xf numFmtId="166" fontId="0" fillId="2" borderId="0" xfId="0" applyNumberFormat="1" applyFill="1"/>
    <xf numFmtId="0" fontId="2" fillId="2" borderId="0" xfId="0" applyFont="1" applyFill="1"/>
    <xf numFmtId="164" fontId="2" fillId="2" borderId="0" xfId="0" applyNumberFormat="1" applyFont="1" applyFill="1"/>
    <xf numFmtId="165" fontId="2" fillId="2" borderId="0" xfId="0" applyNumberFormat="1" applyFont="1" applyFill="1"/>
    <xf numFmtId="0" fontId="4" fillId="2" borderId="0" xfId="0" applyFont="1" applyFill="1"/>
    <xf numFmtId="164" fontId="0" fillId="2" borderId="1" xfId="0" applyNumberFormat="1" applyFill="1" applyBorder="1"/>
    <xf numFmtId="164" fontId="0" fillId="2" borderId="2" xfId="0" applyNumberFormat="1" applyFill="1" applyBorder="1"/>
    <xf numFmtId="2" fontId="0" fillId="2" borderId="1" xfId="0" applyNumberFormat="1" applyFill="1" applyBorder="1"/>
    <xf numFmtId="0" fontId="3" fillId="4" borderId="0" xfId="0" applyFont="1" applyFill="1"/>
    <xf numFmtId="165" fontId="0" fillId="2" borderId="3" xfId="0" applyNumberFormat="1" applyFill="1" applyBorder="1"/>
    <xf numFmtId="166" fontId="0" fillId="5" borderId="4" xfId="0" applyNumberFormat="1" applyFill="1" applyBorder="1"/>
    <xf numFmtId="0" fontId="1" fillId="5" borderId="5" xfId="0" applyFont="1" applyFill="1" applyBorder="1" applyAlignment="1">
      <alignment horizontal="center"/>
    </xf>
    <xf numFmtId="0" fontId="6" fillId="0" borderId="0" xfId="0" applyFont="1"/>
    <xf numFmtId="164" fontId="0" fillId="5" borderId="0" xfId="0" applyNumberFormat="1" applyFill="1"/>
    <xf numFmtId="0" fontId="8" fillId="0" borderId="0" xfId="0" applyFont="1"/>
    <xf numFmtId="0" fontId="10" fillId="0" borderId="0" xfId="0" applyFont="1"/>
    <xf numFmtId="0" fontId="6" fillId="5" borderId="0" xfId="0" applyFont="1" applyFill="1"/>
    <xf numFmtId="0" fontId="1" fillId="2" borderId="6" xfId="0" applyFont="1" applyFill="1" applyBorder="1" applyAlignment="1">
      <alignment horizontal="center" wrapText="1"/>
    </xf>
    <xf numFmtId="164" fontId="1" fillId="2" borderId="6" xfId="0" applyNumberFormat="1" applyFont="1" applyFill="1" applyBorder="1" applyAlignment="1">
      <alignment horizontal="center" wrapText="1"/>
    </xf>
    <xf numFmtId="0" fontId="8" fillId="0" borderId="0" xfId="0" applyFont="1" applyAlignment="1">
      <alignment wrapText="1"/>
    </xf>
    <xf numFmtId="168" fontId="0" fillId="0" borderId="0" xfId="0" applyNumberFormat="1"/>
    <xf numFmtId="165" fontId="11" fillId="0" borderId="0" xfId="0" applyNumberFormat="1" applyFont="1" applyAlignment="1">
      <alignment horizontal="center"/>
    </xf>
    <xf numFmtId="0" fontId="0" fillId="5" borderId="0" xfId="0" applyFill="1"/>
    <xf numFmtId="0" fontId="19" fillId="2" borderId="0" xfId="0" applyFont="1" applyFill="1"/>
    <xf numFmtId="14" fontId="19" fillId="2" borderId="0" xfId="0" applyNumberFormat="1" applyFont="1" applyFill="1"/>
    <xf numFmtId="1" fontId="19" fillId="2" borderId="0" xfId="0" applyNumberFormat="1" applyFont="1" applyFill="1"/>
    <xf numFmtId="166" fontId="0" fillId="5" borderId="0" xfId="0" applyNumberFormat="1" applyFill="1"/>
    <xf numFmtId="0" fontId="1" fillId="5" borderId="7" xfId="0" applyFont="1" applyFill="1" applyBorder="1" applyAlignment="1">
      <alignment horizontal="center"/>
    </xf>
    <xf numFmtId="166" fontId="1" fillId="2" borderId="8" xfId="0" applyNumberFormat="1" applyFont="1" applyFill="1" applyBorder="1" applyAlignment="1">
      <alignment horizontal="center"/>
    </xf>
    <xf numFmtId="168" fontId="12" fillId="0" borderId="0" xfId="0" applyNumberFormat="1" applyFont="1"/>
    <xf numFmtId="0" fontId="13" fillId="0" borderId="0" xfId="0" applyFont="1"/>
    <xf numFmtId="0" fontId="12" fillId="0" borderId="0" xfId="0" applyFont="1"/>
    <xf numFmtId="2" fontId="12" fillId="0" borderId="0" xfId="0" applyNumberFormat="1" applyFont="1"/>
    <xf numFmtId="168" fontId="13" fillId="0" borderId="0" xfId="0" applyNumberFormat="1" applyFont="1" applyAlignment="1">
      <alignment horizontal="center"/>
    </xf>
    <xf numFmtId="0" fontId="13" fillId="5" borderId="0" xfId="0" applyFont="1" applyFill="1"/>
    <xf numFmtId="168" fontId="13" fillId="5" borderId="0" xfId="0" applyNumberFormat="1" applyFont="1" applyFill="1"/>
    <xf numFmtId="2" fontId="13" fillId="5" borderId="0" xfId="0" applyNumberFormat="1" applyFont="1" applyFill="1"/>
    <xf numFmtId="168" fontId="9" fillId="5" borderId="0" xfId="0" applyNumberFormat="1" applyFont="1" applyFill="1"/>
    <xf numFmtId="0" fontId="14" fillId="5" borderId="0" xfId="0" applyFont="1" applyFill="1"/>
    <xf numFmtId="168" fontId="14" fillId="5" borderId="0" xfId="0" applyNumberFormat="1" applyFont="1" applyFill="1"/>
    <xf numFmtId="2" fontId="14" fillId="5" borderId="0" xfId="0" applyNumberFormat="1" applyFont="1" applyFill="1"/>
    <xf numFmtId="0" fontId="14" fillId="0" borderId="0" xfId="0" applyFont="1" applyAlignment="1">
      <alignment wrapText="1"/>
    </xf>
    <xf numFmtId="0" fontId="13" fillId="0" borderId="0" xfId="0" applyFont="1" applyAlignment="1">
      <alignment wrapText="1"/>
    </xf>
    <xf numFmtId="14" fontId="0" fillId="3" borderId="0" xfId="0" applyNumberFormat="1" applyFill="1" applyProtection="1">
      <protection locked="0"/>
    </xf>
    <xf numFmtId="0" fontId="1" fillId="2" borderId="1" xfId="0" applyFont="1" applyFill="1" applyBorder="1" applyAlignment="1">
      <alignment horizontal="center"/>
    </xf>
    <xf numFmtId="166" fontId="5" fillId="2" borderId="3" xfId="0" applyNumberFormat="1" applyFont="1" applyFill="1" applyBorder="1" applyAlignment="1">
      <alignment horizontal="center"/>
    </xf>
    <xf numFmtId="0" fontId="1" fillId="5" borderId="0" xfId="0" applyFont="1" applyFill="1"/>
    <xf numFmtId="165" fontId="0" fillId="5" borderId="0" xfId="0" applyNumberFormat="1" applyFill="1"/>
    <xf numFmtId="2" fontId="0" fillId="2" borderId="9" xfId="0" applyNumberFormat="1" applyFill="1" applyBorder="1"/>
    <xf numFmtId="168" fontId="3" fillId="6" borderId="1" xfId="0" applyNumberFormat="1" applyFont="1" applyFill="1" applyBorder="1"/>
    <xf numFmtId="0" fontId="1" fillId="7" borderId="1" xfId="0" applyFont="1" applyFill="1" applyBorder="1"/>
    <xf numFmtId="0" fontId="1" fillId="7" borderId="10" xfId="0" applyFont="1" applyFill="1" applyBorder="1"/>
    <xf numFmtId="168" fontId="3" fillId="8" borderId="1" xfId="0" applyNumberFormat="1" applyFont="1" applyFill="1" applyBorder="1"/>
    <xf numFmtId="0" fontId="1" fillId="9" borderId="1" xfId="0" applyFont="1" applyFill="1" applyBorder="1"/>
    <xf numFmtId="0" fontId="1" fillId="9" borderId="10" xfId="0" applyFont="1" applyFill="1" applyBorder="1"/>
    <xf numFmtId="168" fontId="3" fillId="10" borderId="1" xfId="0" applyNumberFormat="1" applyFont="1" applyFill="1" applyBorder="1"/>
    <xf numFmtId="0" fontId="1" fillId="11" borderId="1" xfId="0" applyFont="1" applyFill="1" applyBorder="1"/>
    <xf numFmtId="0" fontId="1" fillId="11" borderId="10" xfId="0" applyFont="1" applyFill="1" applyBorder="1"/>
    <xf numFmtId="168" fontId="3" fillId="12" borderId="1" xfId="0" applyNumberFormat="1" applyFont="1" applyFill="1" applyBorder="1"/>
    <xf numFmtId="0" fontId="1" fillId="13" borderId="1" xfId="0" applyFont="1" applyFill="1" applyBorder="1"/>
    <xf numFmtId="0" fontId="1" fillId="13" borderId="10" xfId="0" applyFont="1" applyFill="1" applyBorder="1"/>
    <xf numFmtId="168" fontId="3" fillId="14" borderId="1" xfId="0" applyNumberFormat="1" applyFont="1" applyFill="1" applyBorder="1"/>
    <xf numFmtId="0" fontId="1" fillId="15" borderId="1" xfId="0" applyFont="1" applyFill="1" applyBorder="1"/>
    <xf numFmtId="0" fontId="1" fillId="15" borderId="10" xfId="0" applyFont="1" applyFill="1" applyBorder="1"/>
    <xf numFmtId="2" fontId="0" fillId="2" borderId="6" xfId="0" applyNumberFormat="1" applyFill="1" applyBorder="1"/>
    <xf numFmtId="164" fontId="0" fillId="2" borderId="10" xfId="0" applyNumberFormat="1" applyFill="1" applyBorder="1"/>
    <xf numFmtId="166" fontId="0" fillId="5" borderId="11" xfId="0" applyNumberFormat="1" applyFill="1" applyBorder="1"/>
    <xf numFmtId="166" fontId="0" fillId="5" borderId="12" xfId="0" applyNumberFormat="1" applyFill="1" applyBorder="1"/>
    <xf numFmtId="165" fontId="0" fillId="2" borderId="10" xfId="0" applyNumberFormat="1" applyFill="1" applyBorder="1"/>
    <xf numFmtId="0" fontId="0" fillId="16" borderId="22" xfId="0" applyFill="1" applyBorder="1" applyProtection="1">
      <protection locked="0"/>
    </xf>
    <xf numFmtId="0" fontId="0" fillId="16" borderId="23" xfId="0" applyFill="1" applyBorder="1" applyProtection="1">
      <protection locked="0"/>
    </xf>
    <xf numFmtId="0" fontId="0" fillId="16" borderId="13" xfId="0" applyFill="1" applyBorder="1" applyProtection="1">
      <protection locked="0"/>
    </xf>
    <xf numFmtId="0" fontId="0" fillId="17" borderId="22" xfId="0" applyFill="1" applyBorder="1" applyProtection="1">
      <protection locked="0"/>
    </xf>
    <xf numFmtId="0" fontId="0" fillId="17" borderId="23" xfId="0" applyFill="1" applyBorder="1" applyProtection="1">
      <protection locked="0"/>
    </xf>
    <xf numFmtId="0" fontId="0" fillId="17" borderId="13" xfId="0" applyFill="1" applyBorder="1" applyProtection="1">
      <protection locked="0"/>
    </xf>
    <xf numFmtId="0" fontId="0" fillId="18" borderId="22" xfId="0" applyFill="1" applyBorder="1" applyProtection="1">
      <protection locked="0"/>
    </xf>
    <xf numFmtId="0" fontId="0" fillId="19" borderId="23" xfId="0" applyFill="1" applyBorder="1" applyProtection="1">
      <protection locked="0"/>
    </xf>
    <xf numFmtId="0" fontId="0" fillId="20" borderId="24" xfId="0" applyFill="1" applyBorder="1" applyProtection="1">
      <protection locked="0"/>
    </xf>
    <xf numFmtId="0" fontId="0" fillId="19" borderId="24" xfId="0" applyFill="1" applyBorder="1" applyProtection="1">
      <protection locked="0"/>
    </xf>
    <xf numFmtId="0" fontId="20" fillId="5" borderId="0" xfId="0" applyFont="1" applyFill="1"/>
    <xf numFmtId="0" fontId="21" fillId="5" borderId="0" xfId="0" applyFont="1" applyFill="1"/>
    <xf numFmtId="0" fontId="20" fillId="0" borderId="0" xfId="0" applyFont="1"/>
    <xf numFmtId="0" fontId="22" fillId="5" borderId="0" xfId="0" applyFont="1" applyFill="1"/>
    <xf numFmtId="0" fontId="0" fillId="20" borderId="23" xfId="0" applyFill="1" applyBorder="1" applyProtection="1">
      <protection locked="0"/>
    </xf>
    <xf numFmtId="0" fontId="0" fillId="19" borderId="13" xfId="0" applyFill="1" applyBorder="1" applyProtection="1">
      <protection locked="0"/>
    </xf>
    <xf numFmtId="14" fontId="22" fillId="21" borderId="27" xfId="0" applyNumberFormat="1" applyFont="1" applyFill="1" applyBorder="1" applyProtection="1">
      <protection locked="0"/>
    </xf>
    <xf numFmtId="170" fontId="22" fillId="21" borderId="27" xfId="0" applyNumberFormat="1" applyFont="1" applyFill="1" applyBorder="1" applyProtection="1">
      <protection locked="0"/>
    </xf>
    <xf numFmtId="0" fontId="23" fillId="5" borderId="0" xfId="0" applyFont="1" applyFill="1"/>
    <xf numFmtId="0" fontId="7" fillId="21" borderId="0" xfId="0" applyFont="1" applyFill="1" applyProtection="1">
      <protection locked="0"/>
    </xf>
    <xf numFmtId="20" fontId="0" fillId="20" borderId="24" xfId="0" applyNumberFormat="1" applyFill="1" applyBorder="1" applyProtection="1">
      <protection locked="0"/>
    </xf>
    <xf numFmtId="20" fontId="0" fillId="16" borderId="22" xfId="0" applyNumberFormat="1" applyFill="1" applyBorder="1" applyProtection="1">
      <protection locked="0"/>
    </xf>
    <xf numFmtId="20" fontId="0" fillId="17" borderId="22" xfId="0" applyNumberFormat="1" applyFill="1" applyBorder="1" applyProtection="1">
      <protection locked="0"/>
    </xf>
    <xf numFmtId="20" fontId="0" fillId="18" borderId="22" xfId="0" applyNumberFormat="1" applyFill="1" applyBorder="1" applyProtection="1">
      <protection locked="0"/>
    </xf>
    <xf numFmtId="20" fontId="0" fillId="19" borderId="24" xfId="0" applyNumberFormat="1" applyFill="1" applyBorder="1" applyProtection="1">
      <protection locked="0"/>
    </xf>
    <xf numFmtId="14" fontId="0" fillId="20" borderId="30" xfId="0" applyNumberFormat="1" applyFill="1" applyBorder="1" applyProtection="1">
      <protection locked="0"/>
    </xf>
    <xf numFmtId="14" fontId="0" fillId="20" borderId="31" xfId="0" applyNumberFormat="1" applyFill="1" applyBorder="1" applyProtection="1">
      <protection locked="0"/>
    </xf>
    <xf numFmtId="14" fontId="0" fillId="19" borderId="31" xfId="0" applyNumberFormat="1" applyFill="1" applyBorder="1" applyProtection="1">
      <protection locked="0"/>
    </xf>
    <xf numFmtId="14" fontId="0" fillId="16" borderId="32" xfId="0" applyNumberFormat="1" applyFill="1" applyBorder="1" applyProtection="1">
      <protection locked="0"/>
    </xf>
    <xf numFmtId="14" fontId="0" fillId="16" borderId="33" xfId="0" applyNumberFormat="1" applyFill="1" applyBorder="1" applyProtection="1">
      <protection locked="0"/>
    </xf>
    <xf numFmtId="14" fontId="0" fillId="17" borderId="30" xfId="0" applyNumberFormat="1" applyFill="1" applyBorder="1" applyProtection="1">
      <protection locked="0"/>
    </xf>
    <xf numFmtId="14" fontId="0" fillId="18" borderId="32" xfId="0" applyNumberFormat="1" applyFill="1" applyBorder="1" applyProtection="1">
      <protection locked="0"/>
    </xf>
    <xf numFmtId="14" fontId="0" fillId="18" borderId="33" xfId="0" applyNumberFormat="1" applyFill="1" applyBorder="1" applyProtection="1">
      <protection locked="0"/>
    </xf>
    <xf numFmtId="14" fontId="0" fillId="19" borderId="30" xfId="0" applyNumberFormat="1" applyFill="1" applyBorder="1" applyProtection="1">
      <protection locked="0"/>
    </xf>
    <xf numFmtId="20" fontId="0" fillId="20" borderId="23" xfId="0" applyNumberFormat="1" applyFill="1" applyBorder="1" applyProtection="1">
      <protection locked="0"/>
    </xf>
    <xf numFmtId="20" fontId="0" fillId="16" borderId="23" xfId="0" applyNumberFormat="1" applyFill="1" applyBorder="1" applyProtection="1">
      <protection locked="0"/>
    </xf>
    <xf numFmtId="20" fontId="0" fillId="17" borderId="23" xfId="0" applyNumberFormat="1" applyFill="1" applyBorder="1" applyProtection="1">
      <protection locked="0"/>
    </xf>
    <xf numFmtId="20" fontId="0" fillId="19" borderId="23" xfId="0" applyNumberFormat="1" applyFill="1" applyBorder="1" applyProtection="1">
      <protection locked="0"/>
    </xf>
    <xf numFmtId="14" fontId="0" fillId="20" borderId="34" xfId="0" applyNumberFormat="1" applyFill="1" applyBorder="1" applyProtection="1">
      <protection locked="0"/>
    </xf>
    <xf numFmtId="14" fontId="0" fillId="19" borderId="34" xfId="0" applyNumberFormat="1" applyFill="1" applyBorder="1" applyProtection="1">
      <protection locked="0"/>
    </xf>
    <xf numFmtId="14" fontId="0" fillId="18" borderId="34" xfId="0" applyNumberFormat="1" applyFill="1" applyBorder="1" applyProtection="1">
      <protection locked="0"/>
    </xf>
    <xf numFmtId="14" fontId="0" fillId="17" borderId="34" xfId="0" applyNumberFormat="1" applyFill="1" applyBorder="1" applyProtection="1">
      <protection locked="0"/>
    </xf>
    <xf numFmtId="14" fontId="0" fillId="16" borderId="34" xfId="0" applyNumberFormat="1" applyFill="1" applyBorder="1" applyProtection="1">
      <protection locked="0"/>
    </xf>
    <xf numFmtId="14" fontId="0" fillId="16" borderId="35" xfId="0" applyNumberFormat="1" applyFill="1" applyBorder="1" applyProtection="1">
      <protection locked="0"/>
    </xf>
    <xf numFmtId="14" fontId="0" fillId="17" borderId="35" xfId="0" applyNumberFormat="1" applyFill="1" applyBorder="1" applyProtection="1">
      <protection locked="0"/>
    </xf>
    <xf numFmtId="14" fontId="0" fillId="19" borderId="35" xfId="0" applyNumberFormat="1" applyFill="1" applyBorder="1" applyProtection="1">
      <protection locked="0"/>
    </xf>
    <xf numFmtId="0" fontId="14" fillId="5" borderId="0" xfId="0" applyFont="1" applyFill="1" applyAlignment="1">
      <alignment horizontal="left"/>
    </xf>
    <xf numFmtId="0" fontId="18" fillId="5" borderId="0" xfId="1" applyFill="1" applyAlignment="1">
      <alignment horizontal="left"/>
    </xf>
    <xf numFmtId="1" fontId="13" fillId="5" borderId="0" xfId="0" applyNumberFormat="1" applyFont="1" applyFill="1" applyAlignment="1">
      <alignment horizontal="center"/>
    </xf>
    <xf numFmtId="1" fontId="8" fillId="5" borderId="0" xfId="0" applyNumberFormat="1" applyFont="1" applyFill="1"/>
    <xf numFmtId="1" fontId="14" fillId="5" borderId="0" xfId="0" applyNumberFormat="1" applyFont="1" applyFill="1"/>
    <xf numFmtId="1" fontId="14" fillId="5" borderId="0" xfId="0" applyNumberFormat="1" applyFont="1" applyFill="1" applyAlignment="1">
      <alignment horizontal="left"/>
    </xf>
    <xf numFmtId="1" fontId="12" fillId="0" borderId="0" xfId="0" applyNumberFormat="1" applyFont="1"/>
    <xf numFmtId="0" fontId="14" fillId="0" borderId="0" xfId="0" applyFont="1"/>
    <xf numFmtId="14" fontId="0" fillId="17" borderId="31" xfId="0" applyNumberFormat="1" applyFill="1" applyBorder="1" applyProtection="1">
      <protection locked="0"/>
    </xf>
    <xf numFmtId="2" fontId="0" fillId="5" borderId="0" xfId="0" applyNumberFormat="1" applyFill="1"/>
    <xf numFmtId="14" fontId="0" fillId="18" borderId="35" xfId="0" applyNumberFormat="1" applyFill="1" applyBorder="1" applyProtection="1">
      <protection locked="0"/>
    </xf>
    <xf numFmtId="0" fontId="0" fillId="22" borderId="0" xfId="0" applyFill="1"/>
    <xf numFmtId="0" fontId="1" fillId="22" borderId="0" xfId="0" applyFont="1" applyFill="1"/>
    <xf numFmtId="0" fontId="7" fillId="5" borderId="0" xfId="0" applyFont="1" applyFill="1"/>
    <xf numFmtId="0" fontId="16" fillId="5" borderId="14" xfId="0" applyFont="1" applyFill="1" applyBorder="1" applyAlignment="1">
      <alignment horizontal="right"/>
    </xf>
    <xf numFmtId="0" fontId="16" fillId="5" borderId="15" xfId="0" applyFont="1" applyFill="1" applyBorder="1" applyAlignment="1">
      <alignment horizontal="right"/>
    </xf>
    <xf numFmtId="167" fontId="0" fillId="2" borderId="0" xfId="0" applyNumberFormat="1" applyFill="1"/>
    <xf numFmtId="165" fontId="24" fillId="2" borderId="0" xfId="0" applyNumberFormat="1" applyFont="1" applyFill="1"/>
    <xf numFmtId="169" fontId="0" fillId="2" borderId="0" xfId="0" applyNumberFormat="1" applyFill="1"/>
    <xf numFmtId="0" fontId="7" fillId="2" borderId="0" xfId="0" applyFont="1" applyFill="1"/>
    <xf numFmtId="0" fontId="0" fillId="4" borderId="0" xfId="0" applyFill="1"/>
    <xf numFmtId="1" fontId="0" fillId="4" borderId="0" xfId="0" applyNumberFormat="1" applyFill="1"/>
    <xf numFmtId="0" fontId="2" fillId="22" borderId="0" xfId="0" applyFont="1" applyFill="1"/>
    <xf numFmtId="0" fontId="1" fillId="5" borderId="16" xfId="0" applyFont="1" applyFill="1" applyBorder="1" applyAlignment="1">
      <alignment horizontal="center"/>
    </xf>
    <xf numFmtId="166" fontId="5" fillId="2" borderId="8" xfId="0" applyNumberFormat="1" applyFont="1" applyFill="1" applyBorder="1" applyAlignment="1">
      <alignment horizontal="center"/>
    </xf>
    <xf numFmtId="0" fontId="1" fillId="23" borderId="28" xfId="0" applyFont="1" applyFill="1" applyBorder="1"/>
    <xf numFmtId="14" fontId="0" fillId="20" borderId="30" xfId="0" applyNumberFormat="1" applyFill="1" applyBorder="1"/>
    <xf numFmtId="2" fontId="0" fillId="24" borderId="24" xfId="0" applyNumberFormat="1" applyFill="1" applyBorder="1"/>
    <xf numFmtId="0" fontId="1" fillId="23" borderId="36" xfId="0" applyFont="1" applyFill="1" applyBorder="1"/>
    <xf numFmtId="0" fontId="1" fillId="25" borderId="37" xfId="0" applyFont="1" applyFill="1" applyBorder="1"/>
    <xf numFmtId="166" fontId="3" fillId="4" borderId="0" xfId="0" applyNumberFormat="1" applyFont="1" applyFill="1"/>
    <xf numFmtId="0" fontId="1" fillId="25" borderId="29" xfId="0" applyFont="1" applyFill="1" applyBorder="1"/>
    <xf numFmtId="0" fontId="1" fillId="26" borderId="28" xfId="0" applyFont="1" applyFill="1" applyBorder="1"/>
    <xf numFmtId="0" fontId="1" fillId="26" borderId="29" xfId="0" applyFont="1" applyFill="1" applyBorder="1"/>
    <xf numFmtId="0" fontId="1" fillId="27" borderId="38" xfId="0" applyFont="1" applyFill="1" applyBorder="1"/>
    <xf numFmtId="0" fontId="1" fillId="27" borderId="36" xfId="0" applyFont="1" applyFill="1" applyBorder="1"/>
    <xf numFmtId="0" fontId="1" fillId="27" borderId="39" xfId="0" applyFont="1" applyFill="1" applyBorder="1"/>
    <xf numFmtId="0" fontId="1" fillId="28" borderId="40" xfId="0" applyFont="1" applyFill="1" applyBorder="1"/>
    <xf numFmtId="164" fontId="0" fillId="2" borderId="41" xfId="0" applyNumberFormat="1" applyFill="1" applyBorder="1"/>
    <xf numFmtId="165" fontId="0" fillId="2" borderId="2" xfId="0" applyNumberFormat="1" applyFill="1" applyBorder="1"/>
    <xf numFmtId="0" fontId="1" fillId="28" borderId="36" xfId="0" applyFont="1" applyFill="1" applyBorder="1"/>
    <xf numFmtId="0" fontId="1" fillId="28" borderId="39" xfId="0" applyFont="1" applyFill="1" applyBorder="1"/>
    <xf numFmtId="0" fontId="1" fillId="28" borderId="42" xfId="0" applyFont="1" applyFill="1" applyBorder="1"/>
    <xf numFmtId="0" fontId="1" fillId="28" borderId="43" xfId="0" applyFont="1" applyFill="1" applyBorder="1"/>
    <xf numFmtId="2" fontId="0" fillId="24" borderId="44" xfId="0" applyNumberFormat="1" applyFill="1" applyBorder="1"/>
    <xf numFmtId="164" fontId="0" fillId="2" borderId="45" xfId="0" applyNumberFormat="1" applyFill="1" applyBorder="1"/>
    <xf numFmtId="166" fontId="0" fillId="5" borderId="46" xfId="0" applyNumberFormat="1" applyFill="1" applyBorder="1"/>
    <xf numFmtId="166" fontId="0" fillId="5" borderId="47" xfId="0" applyNumberFormat="1" applyFill="1" applyBorder="1"/>
    <xf numFmtId="165" fontId="0" fillId="2" borderId="48" xfId="0" applyNumberFormat="1" applyFill="1" applyBorder="1"/>
    <xf numFmtId="2" fontId="8" fillId="5" borderId="0" xfId="0" applyNumberFormat="1" applyFont="1" applyFill="1"/>
    <xf numFmtId="168" fontId="17" fillId="0" borderId="0" xfId="0" applyNumberFormat="1" applyFont="1" applyAlignment="1">
      <alignment horizontal="center"/>
    </xf>
    <xf numFmtId="165" fontId="0" fillId="2" borderId="17" xfId="0" applyNumberFormat="1" applyFill="1" applyBorder="1"/>
    <xf numFmtId="165" fontId="0" fillId="2" borderId="18" xfId="0" applyNumberFormat="1" applyFill="1" applyBorder="1"/>
    <xf numFmtId="164" fontId="1" fillId="2" borderId="19" xfId="0" applyNumberFormat="1" applyFont="1" applyFill="1" applyBorder="1" applyAlignment="1">
      <alignment horizontal="center" wrapText="1"/>
    </xf>
    <xf numFmtId="165" fontId="0" fillId="2" borderId="20" xfId="0" applyNumberFormat="1" applyFill="1" applyBorder="1"/>
    <xf numFmtId="164" fontId="0" fillId="2" borderId="12" xfId="0" applyNumberFormat="1" applyFill="1" applyBorder="1"/>
    <xf numFmtId="164" fontId="1" fillId="2" borderId="21" xfId="0" applyNumberFormat="1" applyFont="1" applyFill="1" applyBorder="1" applyAlignment="1">
      <alignment horizontal="center" wrapText="1"/>
    </xf>
    <xf numFmtId="0" fontId="25" fillId="29" borderId="0" xfId="0" applyFont="1" applyFill="1" applyAlignment="1">
      <alignment horizontal="center"/>
    </xf>
    <xf numFmtId="0" fontId="1" fillId="30" borderId="0" xfId="0" applyFont="1" applyFill="1" applyAlignment="1">
      <alignment horizontal="center"/>
    </xf>
    <xf numFmtId="0" fontId="7" fillId="6" borderId="1" xfId="0" applyFont="1" applyFill="1" applyBorder="1"/>
    <xf numFmtId="0" fontId="7" fillId="8" borderId="1" xfId="0" applyFont="1" applyFill="1" applyBorder="1"/>
    <xf numFmtId="0" fontId="7" fillId="10" borderId="1" xfId="0" applyFont="1" applyFill="1" applyBorder="1"/>
    <xf numFmtId="0" fontId="7" fillId="12" borderId="1" xfId="0" applyFont="1" applyFill="1" applyBorder="1"/>
    <xf numFmtId="0" fontId="7" fillId="14" borderId="1" xfId="0" applyFont="1" applyFill="1" applyBorder="1"/>
    <xf numFmtId="168" fontId="8" fillId="5" borderId="0" xfId="0" applyNumberFormat="1" applyFont="1" applyFill="1"/>
    <xf numFmtId="168" fontId="8" fillId="0" borderId="0" xfId="0" applyNumberFormat="1" applyFont="1"/>
    <xf numFmtId="0" fontId="26" fillId="16" borderId="29" xfId="0" applyFont="1" applyFill="1" applyBorder="1" applyProtection="1">
      <protection locked="0"/>
    </xf>
    <xf numFmtId="0" fontId="26" fillId="17" borderId="28" xfId="0" applyFont="1" applyFill="1" applyBorder="1" applyProtection="1">
      <protection locked="0"/>
    </xf>
    <xf numFmtId="0" fontId="26" fillId="18" borderId="28" xfId="0" applyFont="1" applyFill="1" applyBorder="1" applyProtection="1">
      <protection locked="0"/>
    </xf>
    <xf numFmtId="0" fontId="26" fillId="19" borderId="28" xfId="0" applyFont="1" applyFill="1" applyBorder="1" applyProtection="1">
      <protection locked="0"/>
    </xf>
    <xf numFmtId="20" fontId="26" fillId="20" borderId="24" xfId="0" applyNumberFormat="1" applyFont="1" applyFill="1" applyBorder="1" applyProtection="1">
      <protection locked="0"/>
    </xf>
    <xf numFmtId="0" fontId="26" fillId="20" borderId="24" xfId="0" applyFont="1" applyFill="1" applyBorder="1" applyProtection="1">
      <protection locked="0"/>
    </xf>
    <xf numFmtId="20" fontId="26" fillId="20" borderId="25" xfId="0" applyNumberFormat="1" applyFont="1" applyFill="1" applyBorder="1" applyProtection="1">
      <protection locked="0"/>
    </xf>
    <xf numFmtId="0" fontId="26" fillId="20" borderId="25" xfId="0" applyFont="1" applyFill="1" applyBorder="1" applyProtection="1">
      <protection locked="0"/>
    </xf>
    <xf numFmtId="20" fontId="26" fillId="16" borderId="22" xfId="0" applyNumberFormat="1" applyFont="1" applyFill="1" applyBorder="1" applyProtection="1">
      <protection locked="0"/>
    </xf>
    <xf numFmtId="0" fontId="26" fillId="16" borderId="22" xfId="0" applyFont="1" applyFill="1" applyBorder="1" applyProtection="1">
      <protection locked="0"/>
    </xf>
    <xf numFmtId="20" fontId="26" fillId="16" borderId="26" xfId="0" applyNumberFormat="1" applyFont="1" applyFill="1" applyBorder="1" applyProtection="1">
      <protection locked="0"/>
    </xf>
    <xf numFmtId="0" fontId="26" fillId="16" borderId="26" xfId="0" applyFont="1" applyFill="1" applyBorder="1" applyProtection="1">
      <protection locked="0"/>
    </xf>
    <xf numFmtId="20" fontId="26" fillId="17" borderId="22" xfId="0" applyNumberFormat="1" applyFont="1" applyFill="1" applyBorder="1" applyProtection="1">
      <protection locked="0"/>
    </xf>
    <xf numFmtId="0" fontId="26" fillId="17" borderId="22" xfId="0" applyFont="1" applyFill="1" applyBorder="1" applyProtection="1">
      <protection locked="0"/>
    </xf>
    <xf numFmtId="20" fontId="26" fillId="17" borderId="25" xfId="0" applyNumberFormat="1" applyFont="1" applyFill="1" applyBorder="1" applyProtection="1">
      <protection locked="0"/>
    </xf>
    <xf numFmtId="0" fontId="26" fillId="17" borderId="25" xfId="0" applyFont="1" applyFill="1" applyBorder="1" applyProtection="1">
      <protection locked="0"/>
    </xf>
    <xf numFmtId="20" fontId="26" fillId="18" borderId="22" xfId="0" applyNumberFormat="1" applyFont="1" applyFill="1" applyBorder="1" applyProtection="1">
      <protection locked="0"/>
    </xf>
    <xf numFmtId="0" fontId="26" fillId="18" borderId="22" xfId="0" applyFont="1" applyFill="1" applyBorder="1" applyProtection="1">
      <protection locked="0"/>
    </xf>
    <xf numFmtId="20" fontId="26" fillId="19" borderId="24" xfId="0" applyNumberFormat="1" applyFont="1" applyFill="1" applyBorder="1" applyProtection="1">
      <protection locked="0"/>
    </xf>
    <xf numFmtId="0" fontId="26" fillId="19" borderId="24" xfId="0" applyFont="1" applyFill="1" applyBorder="1" applyProtection="1">
      <protection locked="0"/>
    </xf>
    <xf numFmtId="20" fontId="26" fillId="19" borderId="25" xfId="0" applyNumberFormat="1" applyFont="1" applyFill="1" applyBorder="1" applyProtection="1">
      <protection locked="0"/>
    </xf>
    <xf numFmtId="0" fontId="26" fillId="19" borderId="25" xfId="0" applyFont="1" applyFill="1" applyBorder="1" applyProtection="1">
      <protection locked="0"/>
    </xf>
    <xf numFmtId="0" fontId="26" fillId="20" borderId="28" xfId="0" applyFont="1" applyFill="1" applyBorder="1" applyProtection="1">
      <protection locked="0"/>
    </xf>
  </cellXfs>
  <cellStyles count="2">
    <cellStyle name="Hyperlink" xfId="1" builtinId="8"/>
    <cellStyle name="Normal" xfId="0" builtinId="0"/>
  </cellStyles>
  <dxfs count="2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First order extinction-V (kapV)</a:t>
            </a:r>
          </a:p>
        </c:rich>
      </c:tx>
      <c:overlay val="0"/>
      <c:spPr>
        <a:noFill/>
        <a:ln w="25400">
          <a:noFill/>
        </a:ln>
      </c:spPr>
    </c:title>
    <c:autoTitleDeleted val="0"/>
    <c:plotArea>
      <c:layout/>
      <c:scatterChart>
        <c:scatterStyle val="lineMarker"/>
        <c:varyColors val="0"/>
        <c:ser>
          <c:idx val="0"/>
          <c:order val="0"/>
          <c:tx>
            <c:strRef>
              <c:f>'Data Entry-V'!$N$15</c:f>
              <c:strCache>
                <c:ptCount val="1"/>
                <c:pt idx="0">
                  <c:v>v-V</c:v>
                </c:pt>
              </c:strCache>
            </c:strRef>
          </c:tx>
          <c:spPr>
            <a:ln w="28575">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817760279965002"/>
                  <c:y val="0.21051399825021899"/>
                </c:manualLayout>
              </c:layout>
              <c:numFmt formatCode="General" sourceLinked="0"/>
              <c:spPr>
                <a:noFill/>
                <a:ln w="25400">
                  <a:noFill/>
                </a:ln>
              </c:spPr>
              <c:txPr>
                <a:bodyPr/>
                <a:lstStyle/>
                <a:p>
                  <a:pPr>
                    <a:defRPr sz="900" b="0" i="0" u="none" strike="noStrike" baseline="0">
                      <a:solidFill>
                        <a:srgbClr val="333333"/>
                      </a:solidFill>
                      <a:latin typeface="Calibri"/>
                      <a:ea typeface="Calibri"/>
                      <a:cs typeface="Calibri"/>
                    </a:defRPr>
                  </a:pPr>
                  <a:endParaRPr lang="en-US"/>
                </a:p>
              </c:txPr>
            </c:trendlineLbl>
          </c:trendline>
          <c:xVal>
            <c:numRef>
              <c:f>'Data Entry-V'!$M$16:$M$24</c:f>
              <c:numCache>
                <c:formatCode>0.000</c:formatCode>
                <c:ptCount val="9"/>
                <c:pt idx="0">
                  <c:v>1.0680800219524711</c:v>
                </c:pt>
                <c:pt idx="2">
                  <c:v>1.2695996884888812</c:v>
                </c:pt>
                <c:pt idx="4">
                  <c:v>1.5104500706589474</c:v>
                </c:pt>
                <c:pt idx="6">
                  <c:v>1.701722838336013</c:v>
                </c:pt>
                <c:pt idx="8">
                  <c:v>2.0239616584151512</c:v>
                </c:pt>
              </c:numCache>
            </c:numRef>
          </c:xVal>
          <c:yVal>
            <c:numRef>
              <c:f>'Data Entry-V'!$N$16:$N$24</c:f>
              <c:numCache>
                <c:formatCode>0.000</c:formatCode>
                <c:ptCount val="9"/>
                <c:pt idx="0" formatCode="General">
                  <c:v>-12.805526270419403</c:v>
                </c:pt>
                <c:pt idx="2">
                  <c:v>-12.743497636609217</c:v>
                </c:pt>
                <c:pt idx="4" formatCode="General">
                  <c:v>-12.68863169121547</c:v>
                </c:pt>
                <c:pt idx="6" formatCode="General">
                  <c:v>-12.63085754475421</c:v>
                </c:pt>
                <c:pt idx="8" formatCode="General">
                  <c:v>-12.555504013501984</c:v>
                </c:pt>
              </c:numCache>
            </c:numRef>
          </c:yVal>
          <c:smooth val="0"/>
          <c:extLst>
            <c:ext xmlns:c16="http://schemas.microsoft.com/office/drawing/2014/chart" uri="{C3380CC4-5D6E-409C-BE32-E72D297353CC}">
              <c16:uniqueId val="{00000001-095D-42BC-8E42-D0546E6D5E28}"/>
            </c:ext>
          </c:extLst>
        </c:ser>
        <c:dLbls>
          <c:showLegendKey val="0"/>
          <c:showVal val="0"/>
          <c:showCatName val="0"/>
          <c:showSerName val="0"/>
          <c:showPercent val="0"/>
          <c:showBubbleSize val="0"/>
        </c:dLbls>
        <c:axId val="1611066720"/>
        <c:axId val="1"/>
      </c:scatterChart>
      <c:valAx>
        <c:axId val="1611066720"/>
        <c:scaling>
          <c:orientation val="minMax"/>
          <c:max val="2.2000000000000002"/>
          <c:min val="1"/>
        </c:scaling>
        <c:delete val="0"/>
        <c:axPos val="b"/>
        <c:title>
          <c:tx>
            <c:rich>
              <a:bodyPr/>
              <a:lstStyle/>
              <a:p>
                <a:pPr>
                  <a:defRPr sz="1000" b="0" i="0" u="none" strike="noStrike" baseline="0">
                    <a:solidFill>
                      <a:srgbClr val="333333"/>
                    </a:solidFill>
                    <a:latin typeface="Calibri"/>
                    <a:ea typeface="Calibri"/>
                    <a:cs typeface="Calibri"/>
                  </a:defRPr>
                </a:pPr>
                <a:r>
                  <a:rPr lang="en-US"/>
                  <a:t>airmass</a:t>
                </a:r>
              </a:p>
            </c:rich>
          </c:tx>
          <c:overlay val="0"/>
          <c:spPr>
            <a:noFill/>
            <a:ln w="25400">
              <a:noFill/>
            </a:ln>
          </c:sp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00" b="0" i="0" u="none" strike="noStrike" baseline="0">
                    <a:solidFill>
                      <a:srgbClr val="333333"/>
                    </a:solidFill>
                    <a:latin typeface="Calibri"/>
                    <a:ea typeface="Calibri"/>
                    <a:cs typeface="Calibri"/>
                  </a:defRPr>
                </a:pPr>
                <a:r>
                  <a:rPr lang="en-US"/>
                  <a:t>v-V</a:t>
                </a:r>
              </a:p>
            </c:rich>
          </c:tx>
          <c:layout>
            <c:manualLayout>
              <c:xMode val="edge"/>
              <c:yMode val="edge"/>
              <c:x val="3.6111048439861924E-2"/>
              <c:y val="0.41719133046513512"/>
            </c:manualLayout>
          </c:layout>
          <c:overlay val="0"/>
          <c:spPr>
            <a:noFill/>
            <a:ln w="25400">
              <a:noFill/>
            </a:ln>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611066720"/>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First order extinction-B (kapB)</a:t>
            </a:r>
          </a:p>
        </c:rich>
      </c:tx>
      <c:overlay val="0"/>
      <c:spPr>
        <a:noFill/>
        <a:ln w="25400">
          <a:noFill/>
        </a:ln>
      </c:spPr>
    </c:title>
    <c:autoTitleDeleted val="0"/>
    <c:plotArea>
      <c:layout/>
      <c:scatterChart>
        <c:scatterStyle val="lineMarker"/>
        <c:varyColors val="0"/>
        <c:ser>
          <c:idx val="0"/>
          <c:order val="0"/>
          <c:tx>
            <c:strRef>
              <c:f>'Data Entry-B'!$N$15</c:f>
              <c:strCache>
                <c:ptCount val="1"/>
                <c:pt idx="0">
                  <c:v>b-B</c:v>
                </c:pt>
              </c:strCache>
            </c:strRef>
          </c:tx>
          <c:spPr>
            <a:ln w="28575">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6384633449785008"/>
                  <c:y val="0.3648832711496563"/>
                </c:manualLayout>
              </c:layout>
              <c:numFmt formatCode="General" sourceLinked="0"/>
              <c:spPr>
                <a:noFill/>
                <a:ln w="25400">
                  <a:noFill/>
                </a:ln>
              </c:spPr>
              <c:txPr>
                <a:bodyPr/>
                <a:lstStyle/>
                <a:p>
                  <a:pPr>
                    <a:defRPr sz="900" b="0" i="0" u="none" strike="noStrike" baseline="0">
                      <a:solidFill>
                        <a:srgbClr val="333333"/>
                      </a:solidFill>
                      <a:latin typeface="Calibri"/>
                      <a:ea typeface="Calibri"/>
                      <a:cs typeface="Calibri"/>
                    </a:defRPr>
                  </a:pPr>
                  <a:endParaRPr lang="en-US"/>
                </a:p>
              </c:txPr>
            </c:trendlineLbl>
          </c:trendline>
          <c:xVal>
            <c:numRef>
              <c:f>'Data Entry-B'!$M$16:$M$24</c:f>
              <c:numCache>
                <c:formatCode>0.000</c:formatCode>
                <c:ptCount val="9"/>
                <c:pt idx="0">
                  <c:v>-2.0037607751349311</c:v>
                </c:pt>
                <c:pt idx="2">
                  <c:v>-1.2868402388009303</c:v>
                </c:pt>
                <c:pt idx="4">
                  <c:v>-1.1716358417119728</c:v>
                </c:pt>
                <c:pt idx="6">
                  <c:v>-1.2207795058364548</c:v>
                </c:pt>
                <c:pt idx="8">
                  <c:v>-1.405163022796851</c:v>
                </c:pt>
              </c:numCache>
            </c:numRef>
          </c:xVal>
          <c:yVal>
            <c:numRef>
              <c:f>'Data Entry-B'!$N$16:$N$24</c:f>
              <c:numCache>
                <c:formatCode>0.000</c:formatCode>
                <c:ptCount val="9"/>
                <c:pt idx="0" formatCode="General">
                  <c:v>0</c:v>
                </c:pt>
                <c:pt idx="2" formatCode="General">
                  <c:v>0</c:v>
                </c:pt>
                <c:pt idx="4" formatCode="General">
                  <c:v>0</c:v>
                </c:pt>
                <c:pt idx="6" formatCode="General">
                  <c:v>0</c:v>
                </c:pt>
                <c:pt idx="8" formatCode="General">
                  <c:v>0</c:v>
                </c:pt>
              </c:numCache>
            </c:numRef>
          </c:yVal>
          <c:smooth val="0"/>
          <c:extLst>
            <c:ext xmlns:c16="http://schemas.microsoft.com/office/drawing/2014/chart" uri="{C3380CC4-5D6E-409C-BE32-E72D297353CC}">
              <c16:uniqueId val="{00000001-E150-41AB-92C0-1CEA500E43FA}"/>
            </c:ext>
          </c:extLst>
        </c:ser>
        <c:dLbls>
          <c:showLegendKey val="0"/>
          <c:showVal val="0"/>
          <c:showCatName val="0"/>
          <c:showSerName val="0"/>
          <c:showPercent val="0"/>
          <c:showBubbleSize val="0"/>
        </c:dLbls>
        <c:axId val="1610658432"/>
        <c:axId val="1"/>
      </c:scatterChart>
      <c:valAx>
        <c:axId val="1610658432"/>
        <c:scaling>
          <c:orientation val="minMax"/>
          <c:max val="2.2000000000000002"/>
          <c:min val="1"/>
        </c:scaling>
        <c:delete val="0"/>
        <c:axPos val="b"/>
        <c:title>
          <c:tx>
            <c:rich>
              <a:bodyPr/>
              <a:lstStyle/>
              <a:p>
                <a:pPr>
                  <a:defRPr sz="1000" b="0" i="0" u="none" strike="noStrike" baseline="0">
                    <a:solidFill>
                      <a:srgbClr val="333333"/>
                    </a:solidFill>
                    <a:latin typeface="Calibri"/>
                    <a:ea typeface="Calibri"/>
                    <a:cs typeface="Calibri"/>
                  </a:defRPr>
                </a:pPr>
                <a:r>
                  <a:rPr lang="en-US"/>
                  <a:t>airmass</a:t>
                </a:r>
              </a:p>
            </c:rich>
          </c:tx>
          <c:overlay val="0"/>
          <c:spPr>
            <a:noFill/>
            <a:ln w="25400">
              <a:noFill/>
            </a:ln>
          </c:sp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00" b="0" i="0" u="none" strike="noStrike" baseline="0">
                    <a:solidFill>
                      <a:srgbClr val="333333"/>
                    </a:solidFill>
                    <a:latin typeface="Calibri"/>
                    <a:ea typeface="Calibri"/>
                    <a:cs typeface="Calibri"/>
                  </a:defRPr>
                </a:pPr>
                <a:r>
                  <a:rPr lang="en-US"/>
                  <a:t>b-B</a:t>
                </a:r>
              </a:p>
            </c:rich>
          </c:tx>
          <c:overlay val="0"/>
          <c:spPr>
            <a:noFill/>
            <a:ln w="25400">
              <a:noFill/>
            </a:ln>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610658432"/>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228600</xdr:colOff>
      <xdr:row>0</xdr:row>
      <xdr:rowOff>0</xdr:rowOff>
    </xdr:from>
    <xdr:to>
      <xdr:col>16</xdr:col>
      <xdr:colOff>9525</xdr:colOff>
      <xdr:row>14</xdr:row>
      <xdr:rowOff>9525</xdr:rowOff>
    </xdr:to>
    <xdr:graphicFrame macro="">
      <xdr:nvGraphicFramePr>
        <xdr:cNvPr id="1035" name="Grafiek 1">
          <a:extLst>
            <a:ext uri="{FF2B5EF4-FFF2-40B4-BE49-F238E27FC236}">
              <a16:creationId xmlns:a16="http://schemas.microsoft.com/office/drawing/2014/main" id="{EBE085F2-C46A-770F-686A-814425D2B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0</xdr:row>
      <xdr:rowOff>0</xdr:rowOff>
    </xdr:from>
    <xdr:to>
      <xdr:col>15</xdr:col>
      <xdr:colOff>762000</xdr:colOff>
      <xdr:row>13</xdr:row>
      <xdr:rowOff>161925</xdr:rowOff>
    </xdr:to>
    <xdr:graphicFrame macro="">
      <xdr:nvGraphicFramePr>
        <xdr:cNvPr id="2059" name="Grafiek 2">
          <a:extLst>
            <a:ext uri="{FF2B5EF4-FFF2-40B4-BE49-F238E27FC236}">
              <a16:creationId xmlns:a16="http://schemas.microsoft.com/office/drawing/2014/main" id="{282FEBA4-D450-AD25-7305-B021AA663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aa.usno.navy.mil/faq/GAST" TargetMode="External"/><Relationship Id="rId1" Type="http://schemas.openxmlformats.org/officeDocument/2006/relationships/hyperlink" Target="https://aa.usno.navy.mil/faq/alt_a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ED04-608F-4021-A9C2-341E56FDB9FB}">
  <sheetPr>
    <tabColor rgb="FF92D050"/>
  </sheetPr>
  <dimension ref="A1:P29"/>
  <sheetViews>
    <sheetView tabSelected="1" zoomScale="130" zoomScaleNormal="130" zoomScalePageLayoutView="150" workbookViewId="0">
      <selection activeCell="A24" sqref="A24"/>
    </sheetView>
  </sheetViews>
  <sheetFormatPr defaultColWidth="11.42578125" defaultRowHeight="12.75"/>
  <cols>
    <col min="1" max="1" width="15" style="1" customWidth="1"/>
    <col min="2" max="3" width="9.85546875" style="1" customWidth="1"/>
    <col min="4" max="4" width="14.85546875" style="1" customWidth="1"/>
    <col min="5" max="5" width="10.140625" bestFit="1" customWidth="1"/>
    <col min="6" max="8" width="8.28515625" customWidth="1"/>
    <col min="9" max="9" width="8.28515625" style="2" customWidth="1"/>
    <col min="10" max="10" width="8.28515625" style="3" customWidth="1"/>
    <col min="11" max="15" width="8.28515625" customWidth="1"/>
    <col min="18" max="18" width="12" bestFit="1" customWidth="1"/>
    <col min="21" max="21" width="12.28515625" bestFit="1" customWidth="1"/>
  </cols>
  <sheetData>
    <row r="1" spans="1:16" ht="14.1" customHeight="1">
      <c r="A1" s="4"/>
      <c r="B1" s="4"/>
      <c r="C1" s="4"/>
      <c r="D1" s="4"/>
      <c r="E1" s="5"/>
      <c r="F1" s="5"/>
      <c r="G1" s="5"/>
      <c r="H1" s="5"/>
      <c r="I1" s="6"/>
      <c r="J1" s="7"/>
      <c r="K1" s="134"/>
      <c r="L1" s="30"/>
      <c r="M1" s="134"/>
      <c r="N1" s="30"/>
      <c r="O1" s="30"/>
    </row>
    <row r="2" spans="1:16" ht="14.1" customHeight="1">
      <c r="A2" s="135"/>
      <c r="B2" s="136"/>
      <c r="C2" s="136"/>
      <c r="D2" s="30"/>
      <c r="E2" s="30"/>
      <c r="F2" s="6"/>
      <c r="G2" s="7"/>
      <c r="H2" s="5"/>
      <c r="I2" s="6"/>
      <c r="J2" s="7"/>
      <c r="K2" s="5"/>
      <c r="L2" s="30"/>
      <c r="M2" s="5"/>
      <c r="N2" s="30"/>
      <c r="O2" s="30"/>
    </row>
    <row r="3" spans="1:16" ht="14.1" customHeight="1">
      <c r="A3" s="4"/>
      <c r="B3" s="136"/>
      <c r="C3" s="136"/>
      <c r="D3" s="136"/>
      <c r="E3" s="30"/>
      <c r="F3" s="6"/>
      <c r="G3" s="7"/>
      <c r="H3" s="5"/>
      <c r="I3" s="6"/>
      <c r="J3" s="7"/>
      <c r="K3" s="5"/>
      <c r="L3" s="30"/>
      <c r="M3" s="5"/>
      <c r="N3" s="30"/>
      <c r="O3" s="30"/>
    </row>
    <row r="4" spans="1:16" ht="14.1" customHeight="1">
      <c r="A4" s="4"/>
      <c r="B4" s="136"/>
      <c r="C4" s="136"/>
      <c r="D4" s="136"/>
      <c r="E4" s="30"/>
      <c r="F4" s="6"/>
      <c r="G4" s="7"/>
      <c r="H4" s="5"/>
      <c r="I4" s="6"/>
      <c r="J4" s="7"/>
      <c r="K4" s="5"/>
      <c r="L4" s="30"/>
      <c r="M4" s="5"/>
      <c r="N4" s="30"/>
      <c r="O4" s="30"/>
    </row>
    <row r="5" spans="1:16" ht="14.1" customHeight="1">
      <c r="A5" s="4"/>
      <c r="B5" s="136"/>
      <c r="C5" s="136"/>
      <c r="D5" s="136"/>
      <c r="E5" s="30"/>
      <c r="F5" s="6"/>
      <c r="G5" s="7"/>
      <c r="H5" s="5"/>
      <c r="I5" s="6"/>
      <c r="J5" s="7"/>
      <c r="K5" s="5"/>
      <c r="L5" s="30"/>
      <c r="M5" s="5"/>
      <c r="N5" s="30"/>
      <c r="O5" s="30"/>
    </row>
    <row r="6" spans="1:16" ht="14.1" customHeight="1">
      <c r="A6" s="4"/>
      <c r="B6" s="136"/>
      <c r="C6" s="136"/>
      <c r="D6" s="30"/>
      <c r="E6" s="30"/>
      <c r="F6" s="6"/>
      <c r="G6" s="7"/>
      <c r="H6" s="5"/>
      <c r="I6" s="6"/>
      <c r="J6" s="7"/>
      <c r="K6" s="5"/>
      <c r="L6" s="30"/>
      <c r="M6" s="5"/>
      <c r="N6" s="30"/>
      <c r="O6" s="30"/>
    </row>
    <row r="7" spans="1:16" ht="14.1" customHeight="1">
      <c r="A7" s="4"/>
      <c r="B7" s="137" t="s">
        <v>0</v>
      </c>
      <c r="C7" s="138" t="s">
        <v>1</v>
      </c>
      <c r="D7" s="137" t="s">
        <v>2</v>
      </c>
      <c r="E7" s="136" t="s">
        <v>3</v>
      </c>
      <c r="F7" s="6"/>
      <c r="G7" s="7"/>
      <c r="H7" s="5"/>
      <c r="I7" s="6"/>
      <c r="J7" s="7"/>
      <c r="K7" s="5"/>
      <c r="L7" s="30"/>
      <c r="M7" s="5"/>
      <c r="N7" s="30"/>
      <c r="O7" s="30"/>
    </row>
    <row r="8" spans="1:16" ht="14.1" customHeight="1">
      <c r="A8" s="4" t="s">
        <v>4</v>
      </c>
      <c r="B8" s="96">
        <v>36</v>
      </c>
      <c r="C8" s="96">
        <v>50</v>
      </c>
      <c r="D8" s="96">
        <v>0</v>
      </c>
      <c r="E8" s="96" t="s">
        <v>5</v>
      </c>
      <c r="F8" s="139">
        <f>IF(E8="N",(B8+C8/60+D8/3600),(-1*(B8+C8/60+D8/3600)))</f>
        <v>-36.833333333333336</v>
      </c>
      <c r="G8" s="140">
        <f>RADIANS(F8)</f>
        <v>-0.64286294115124476</v>
      </c>
      <c r="H8" s="5"/>
      <c r="I8" s="6"/>
      <c r="J8" s="7"/>
      <c r="K8" s="5"/>
      <c r="L8" s="30"/>
      <c r="M8" s="5"/>
      <c r="N8" s="30"/>
      <c r="O8" s="30"/>
    </row>
    <row r="9" spans="1:16" ht="14.1" customHeight="1">
      <c r="A9" s="4" t="s">
        <v>6</v>
      </c>
      <c r="B9" s="96">
        <v>174</v>
      </c>
      <c r="C9" s="96">
        <v>28</v>
      </c>
      <c r="D9" s="96">
        <v>0</v>
      </c>
      <c r="E9" s="96" t="s">
        <v>7</v>
      </c>
      <c r="F9" s="139">
        <f>IF(E9="W",(B9+C9/60+D9/3600),(-1*(B9+C9/60+D9/3600)))</f>
        <v>-174.46666666666667</v>
      </c>
      <c r="G9" s="141">
        <f>F9/15</f>
        <v>-11.631111111111112</v>
      </c>
      <c r="H9" s="142" t="s">
        <v>8</v>
      </c>
      <c r="I9" s="6"/>
      <c r="J9" s="7"/>
      <c r="K9" s="5"/>
      <c r="L9" s="30"/>
      <c r="M9" s="5"/>
      <c r="N9" s="30"/>
      <c r="O9" s="30"/>
    </row>
    <row r="10" spans="1:16" ht="14.1" customHeight="1">
      <c r="A10" s="4"/>
      <c r="B10" s="5"/>
      <c r="C10" s="5"/>
      <c r="D10" s="5"/>
      <c r="E10" s="5"/>
      <c r="F10" s="6"/>
      <c r="G10" s="7"/>
      <c r="H10" s="5"/>
      <c r="I10" s="6"/>
      <c r="J10" s="7"/>
      <c r="K10" s="5"/>
      <c r="L10" s="30"/>
      <c r="M10" s="5"/>
      <c r="N10" s="30"/>
      <c r="O10" s="30"/>
    </row>
    <row r="11" spans="1:16" ht="14.1" customHeight="1">
      <c r="A11" s="4" t="s">
        <v>9</v>
      </c>
      <c r="B11" s="181" t="s">
        <v>10</v>
      </c>
      <c r="C11" s="8"/>
      <c r="D11" s="8"/>
      <c r="E11" s="9"/>
      <c r="F11" s="21"/>
      <c r="G11" s="11"/>
      <c r="H11" s="5"/>
      <c r="I11" s="6"/>
      <c r="J11" s="7"/>
      <c r="K11" s="5"/>
      <c r="L11" s="30"/>
      <c r="M11" s="5"/>
      <c r="N11" s="30"/>
      <c r="O11" s="30"/>
    </row>
    <row r="12" spans="1:16" ht="14.1" customHeight="1">
      <c r="A12" s="4" t="s">
        <v>11</v>
      </c>
      <c r="B12" s="51">
        <v>46033</v>
      </c>
      <c r="C12" s="9"/>
      <c r="D12" s="12"/>
      <c r="E12" s="16"/>
      <c r="F12" s="21"/>
      <c r="G12" s="11"/>
      <c r="H12" s="5"/>
      <c r="I12" s="6"/>
      <c r="J12" s="7"/>
      <c r="K12" s="5"/>
      <c r="L12" s="30"/>
      <c r="M12" s="5"/>
      <c r="N12" s="30"/>
      <c r="O12" s="30"/>
    </row>
    <row r="13" spans="1:16" ht="14.1" customHeight="1">
      <c r="A13" s="135" t="s">
        <v>12</v>
      </c>
      <c r="B13" s="144">
        <v>10</v>
      </c>
      <c r="C13" s="145"/>
      <c r="D13" s="135" t="s">
        <v>13</v>
      </c>
      <c r="E13" s="143">
        <v>10</v>
      </c>
      <c r="F13" s="5"/>
      <c r="G13" s="11"/>
      <c r="H13" s="5"/>
      <c r="I13" s="6"/>
      <c r="J13" s="7"/>
      <c r="K13" s="5"/>
      <c r="L13" s="30"/>
      <c r="M13" s="5"/>
      <c r="N13" s="30"/>
      <c r="O13" s="30"/>
    </row>
    <row r="14" spans="1:16" ht="14.1" customHeight="1">
      <c r="A14" s="4"/>
      <c r="B14" s="4"/>
      <c r="C14" s="4"/>
      <c r="D14" s="4"/>
      <c r="E14" s="5"/>
      <c r="F14" s="5"/>
      <c r="G14" s="5"/>
      <c r="H14" s="5"/>
      <c r="I14" s="6"/>
      <c r="J14" s="7"/>
      <c r="K14" s="5"/>
      <c r="L14" s="30"/>
      <c r="M14" s="5"/>
      <c r="N14" s="30"/>
      <c r="O14" s="30"/>
    </row>
    <row r="15" spans="1:16" ht="25.5">
      <c r="A15" s="4" t="s">
        <v>14</v>
      </c>
      <c r="B15" s="4" t="s">
        <v>15</v>
      </c>
      <c r="C15" s="4" t="s">
        <v>16</v>
      </c>
      <c r="D15" s="4"/>
      <c r="E15" s="52" t="s">
        <v>17</v>
      </c>
      <c r="F15" s="52" t="s">
        <v>18</v>
      </c>
      <c r="G15" s="52" t="s">
        <v>19</v>
      </c>
      <c r="H15" s="52" t="s">
        <v>20</v>
      </c>
      <c r="I15" s="52" t="s">
        <v>21</v>
      </c>
      <c r="J15" s="25" t="s">
        <v>22</v>
      </c>
      <c r="K15" s="26" t="s">
        <v>23</v>
      </c>
      <c r="L15" s="176" t="s">
        <v>24</v>
      </c>
      <c r="M15" s="146" t="s">
        <v>25</v>
      </c>
      <c r="N15" s="35" t="s">
        <v>26</v>
      </c>
      <c r="O15" s="147" t="s">
        <v>27</v>
      </c>
      <c r="P15" s="53"/>
    </row>
    <row r="16" spans="1:16">
      <c r="A16" s="211" t="s">
        <v>28</v>
      </c>
      <c r="B16" s="57">
        <f>INDEX(Stars!$B$2:B275, MATCH(A16,Stars!$A$2:A275,))</f>
        <v>6.5842999999999998</v>
      </c>
      <c r="C16" s="57">
        <f>INDEX(Stars!$C$2:$C$275, MATCH(A16,Stars!$A$2:$A$275,))</f>
        <v>-22.9648</v>
      </c>
      <c r="D16" s="148" t="s">
        <v>29</v>
      </c>
      <c r="E16" s="149">
        <f>B12</f>
        <v>46033</v>
      </c>
      <c r="F16" s="193">
        <v>0.4324884259259259</v>
      </c>
      <c r="G16" s="194">
        <v>2551</v>
      </c>
      <c r="H16" s="194">
        <v>2553</v>
      </c>
      <c r="I16" s="194">
        <v>2555</v>
      </c>
      <c r="J16" s="150">
        <f>AVERAGE(G16:I16)</f>
        <v>2553</v>
      </c>
      <c r="K16" s="13">
        <f>(J16-J17)</f>
        <v>2024</v>
      </c>
      <c r="L16" s="177">
        <f>IF(AND(G16=H16,G16=I16),"1000",K16/_xlfn.STDEV.P(G16:I16))</f>
        <v>1239.4418098482881</v>
      </c>
      <c r="M16" s="18">
        <f>'Airmass-V'!D2-(('Airmass-V'!D2-1)*(0.0018161+('Airmass-V'!D2-1)*(0.002875+('Airmass-V'!D2-1)*0.0008083)))</f>
        <v>1.0680800219524711</v>
      </c>
      <c r="N16" s="16">
        <f>O16-INDEX(Stars!$D$1:$D$242, MATCH(A16,Stars!$A$1:$A$242,))</f>
        <v>-12.805526270419403</v>
      </c>
      <c r="O16" s="17">
        <f>-2.5*LOG10(K16)</f>
        <v>-8.2655262704194037</v>
      </c>
      <c r="P16" s="17"/>
    </row>
    <row r="17" spans="1:16">
      <c r="A17" s="151"/>
      <c r="B17" s="59"/>
      <c r="C17" s="59"/>
      <c r="D17" s="151" t="s">
        <v>30</v>
      </c>
      <c r="E17" s="103">
        <f t="shared" ref="E17:E25" si="0">E16</f>
        <v>46033</v>
      </c>
      <c r="F17" s="195">
        <v>0.43319444444444444</v>
      </c>
      <c r="G17" s="196">
        <v>531</v>
      </c>
      <c r="H17" s="196">
        <v>527</v>
      </c>
      <c r="I17" s="196">
        <v>529</v>
      </c>
      <c r="J17" s="150">
        <f t="shared" ref="J17:J25" si="1">AVERAGE(G17:I17)</f>
        <v>529</v>
      </c>
      <c r="K17" s="14"/>
      <c r="L17" s="174">
        <f>IF(AND(G17=H17,G17=I17),"1000",J17/_xlfn.STDEV.P(G17:I17))</f>
        <v>323.94501848307533</v>
      </c>
      <c r="M17" s="18"/>
      <c r="N17" s="34"/>
      <c r="O17" s="17"/>
      <c r="P17" s="17"/>
    </row>
    <row r="18" spans="1:16">
      <c r="A18" s="189" t="s">
        <v>31</v>
      </c>
      <c r="B18" s="60">
        <f>INDEX(Stars!$B$2:B277, MATCH(A18,Stars!$A$2:A277,))</f>
        <v>5.9804000000000004</v>
      </c>
      <c r="C18" s="60">
        <f>INDEX(Stars!$C$2:$C$275, MATCH(A18,Stars!$A$2:$A$275,))</f>
        <v>0.55300000000000005</v>
      </c>
      <c r="D18" s="152" t="s">
        <v>29</v>
      </c>
      <c r="E18" s="105">
        <f t="shared" si="0"/>
        <v>46033</v>
      </c>
      <c r="F18" s="197">
        <v>0.4347685185185185</v>
      </c>
      <c r="G18" s="198">
        <v>1561</v>
      </c>
      <c r="H18" s="198">
        <v>1570</v>
      </c>
      <c r="I18" s="198">
        <v>1566</v>
      </c>
      <c r="J18" s="150">
        <f t="shared" si="1"/>
        <v>1565.6666666666667</v>
      </c>
      <c r="K18" s="14">
        <f>(J18-J19)</f>
        <v>1031.3333333333335</v>
      </c>
      <c r="L18" s="174">
        <f>IF(AND(G18=H18,G18=I18),"1000",K18/_xlfn.STDEV.P(G18:I18))</f>
        <v>280.11759825555237</v>
      </c>
      <c r="M18" s="18">
        <f>'Airmass-V'!D3-(('Airmass-V'!D3-1)*(0.0018161+('Airmass-V'!D3-1)*(0.002875+('Airmass-V'!D3-1)*0.0008083)))</f>
        <v>1.2695996884888812</v>
      </c>
      <c r="N18" s="153">
        <f>O18-INDEX(Stars!$D$1:$D$242, MATCH(A18,Stars!$A$1:$A$242,))</f>
        <v>-12.743497636609217</v>
      </c>
      <c r="O18" s="17">
        <f t="shared" ref="O18:O24" si="2">-2.5*LOG10(K18)</f>
        <v>-7.5334976366092157</v>
      </c>
      <c r="P18" s="17"/>
    </row>
    <row r="19" spans="1:16">
      <c r="A19" s="154"/>
      <c r="B19" s="62"/>
      <c r="C19" s="62"/>
      <c r="D19" s="152" t="s">
        <v>30</v>
      </c>
      <c r="E19" s="106">
        <f t="shared" si="0"/>
        <v>46033</v>
      </c>
      <c r="F19" s="199">
        <v>0.43585648148148148</v>
      </c>
      <c r="G19" s="200">
        <v>535</v>
      </c>
      <c r="H19" s="200">
        <v>535</v>
      </c>
      <c r="I19" s="200">
        <v>533</v>
      </c>
      <c r="J19" s="150">
        <f t="shared" si="1"/>
        <v>534.33333333333337</v>
      </c>
      <c r="K19" s="14"/>
      <c r="L19" s="174">
        <f>IF(AND(G19=H19,G19=I19),"1000",J19/_xlfn.STDEV.P(G19:I19))</f>
        <v>566.74608512101793</v>
      </c>
      <c r="M19" s="18"/>
      <c r="N19" s="34"/>
      <c r="O19" s="17"/>
      <c r="P19" s="17"/>
    </row>
    <row r="20" spans="1:16">
      <c r="A20" s="190" t="s">
        <v>32</v>
      </c>
      <c r="B20" s="63">
        <f>INDEX(Stars!$B$2:B279, MATCH(A20,Stars!$A$2:A279,))</f>
        <v>7.1976000000000004</v>
      </c>
      <c r="C20" s="63">
        <f>INDEX(Stars!$C$2:$C$275, MATCH(A20,Stars!$A$2:$A$275,))</f>
        <v>5.6547000000000001</v>
      </c>
      <c r="D20" s="155" t="s">
        <v>29</v>
      </c>
      <c r="E20" s="107">
        <f t="shared" si="0"/>
        <v>46033</v>
      </c>
      <c r="F20" s="201">
        <v>0.43690972222222224</v>
      </c>
      <c r="G20" s="202">
        <v>982</v>
      </c>
      <c r="H20" s="202">
        <v>981</v>
      </c>
      <c r="I20" s="202">
        <v>975</v>
      </c>
      <c r="J20" s="150">
        <f t="shared" si="1"/>
        <v>979.33333333333337</v>
      </c>
      <c r="K20" s="14">
        <f>(J20-J21)</f>
        <v>440</v>
      </c>
      <c r="L20" s="174">
        <f>IF(AND(G20=H20,G20=I20),"1000",K20/_xlfn.STDEV.P(G20:I20))</f>
        <v>142.33926062853871</v>
      </c>
      <c r="M20" s="18">
        <f>'Airmass-V'!D4-(('Airmass-V'!D4-1)*(0.0018161+('Airmass-V'!D4-1)*(0.002875+('Airmass-V'!D4-1)*0.0008083)))</f>
        <v>1.5104500706589474</v>
      </c>
      <c r="N20" s="16">
        <f>O20-INDEX(Stars!$D$1:$D$242, MATCH(A20,Stars!$A$1:$A$242,))</f>
        <v>-12.68863169121547</v>
      </c>
      <c r="O20" s="17">
        <f t="shared" si="2"/>
        <v>-6.6086316912154688</v>
      </c>
      <c r="P20" s="17"/>
    </row>
    <row r="21" spans="1:16">
      <c r="A21" s="156"/>
      <c r="B21" s="65"/>
      <c r="C21" s="65"/>
      <c r="D21" s="156" t="s">
        <v>30</v>
      </c>
      <c r="E21" s="131">
        <f t="shared" si="0"/>
        <v>46033</v>
      </c>
      <c r="F21" s="203">
        <v>0.4375</v>
      </c>
      <c r="G21" s="204">
        <v>537</v>
      </c>
      <c r="H21" s="204">
        <v>544</v>
      </c>
      <c r="I21" s="204">
        <v>537</v>
      </c>
      <c r="J21" s="150">
        <f t="shared" si="1"/>
        <v>539.33333333333337</v>
      </c>
      <c r="K21" s="14"/>
      <c r="L21" s="174">
        <f>IF(AND(G21=H21,G21=I21),"1000",J21/_xlfn.STDEV.P(G21:I21))</f>
        <v>163.44268170854772</v>
      </c>
      <c r="M21" s="18"/>
      <c r="N21" s="34"/>
      <c r="O21" s="17"/>
      <c r="P21" s="17"/>
    </row>
    <row r="22" spans="1:16">
      <c r="A22" s="191" t="s">
        <v>33</v>
      </c>
      <c r="B22" s="66">
        <f>INDEX(Stars!$B$2:B281, MATCH(A22,Stars!$A$2:A281,))</f>
        <v>8.0205000000000002</v>
      </c>
      <c r="C22" s="66">
        <f>INDEX(Stars!$C$2:$C$275, MATCH(A22,Stars!$A$2:$A$275,))</f>
        <v>4.8666999999999998</v>
      </c>
      <c r="D22" s="157" t="s">
        <v>29</v>
      </c>
      <c r="E22" s="108">
        <f t="shared" si="0"/>
        <v>46033</v>
      </c>
      <c r="F22" s="205">
        <v>0.43876157407407407</v>
      </c>
      <c r="G22" s="206">
        <v>1161</v>
      </c>
      <c r="H22" s="206">
        <v>1169</v>
      </c>
      <c r="I22" s="206">
        <v>1171</v>
      </c>
      <c r="J22" s="150">
        <f t="shared" si="1"/>
        <v>1167</v>
      </c>
      <c r="K22" s="14">
        <f>(J22-J23)</f>
        <v>625.66666666666663</v>
      </c>
      <c r="L22" s="174">
        <f>IF(AND(G22=H22,G22=I22),"1000",K22/_xlfn.STDEV.P(G22:I22))</f>
        <v>144.81369393942325</v>
      </c>
      <c r="M22" s="18">
        <f>'Airmass-V'!D5-(('Airmass-V'!D5-1)*(0.0018161+('Airmass-V'!D5-1)*(0.002875+('Airmass-V'!D5-1)*0.0008083)))</f>
        <v>1.701722838336013</v>
      </c>
      <c r="N22" s="16">
        <f>O22-INDEX(Stars!$D$1:$D$242, MATCH(A22,Stars!$A$1:$A$242,))</f>
        <v>-12.63085754475421</v>
      </c>
      <c r="O22" s="17">
        <f t="shared" si="2"/>
        <v>-6.9908575447542098</v>
      </c>
      <c r="P22" s="17"/>
    </row>
    <row r="23" spans="1:16">
      <c r="A23" s="158"/>
      <c r="B23" s="68"/>
      <c r="C23" s="68"/>
      <c r="D23" s="159" t="s">
        <v>30</v>
      </c>
      <c r="E23" s="109">
        <f t="shared" si="0"/>
        <v>46033</v>
      </c>
      <c r="F23" s="205">
        <v>0.43930555555555556</v>
      </c>
      <c r="G23" s="206">
        <v>541</v>
      </c>
      <c r="H23" s="206">
        <v>543</v>
      </c>
      <c r="I23" s="206">
        <v>540</v>
      </c>
      <c r="J23" s="150">
        <f t="shared" si="1"/>
        <v>541.33333333333337</v>
      </c>
      <c r="K23" s="14"/>
      <c r="L23" s="174">
        <f>IF(AND(G23=H23,G23=I23),"1000",J23/_xlfn.STDEV.P(G23:I23))</f>
        <v>434.03225686577724</v>
      </c>
      <c r="M23" s="18"/>
      <c r="N23" s="34"/>
      <c r="O23" s="17"/>
      <c r="P23" s="17"/>
    </row>
    <row r="24" spans="1:16">
      <c r="A24" s="192" t="s">
        <v>34</v>
      </c>
      <c r="B24" s="69">
        <f>INDEX(Stars!$B$2:B283, MATCH(A24,Stars!$A$2:A283,))</f>
        <v>8.9688999999999997</v>
      </c>
      <c r="C24" s="69">
        <f>INDEX(Stars!$C$2:$C$275, MATCH(A24,Stars!$A$2:$A$275,))</f>
        <v>1.5416000000000001</v>
      </c>
      <c r="D24" s="160" t="s">
        <v>29</v>
      </c>
      <c r="E24" s="110">
        <f t="shared" si="0"/>
        <v>46033</v>
      </c>
      <c r="F24" s="207">
        <v>0.44055555555555553</v>
      </c>
      <c r="G24" s="208">
        <v>789</v>
      </c>
      <c r="H24" s="208">
        <v>791</v>
      </c>
      <c r="I24" s="208">
        <v>793</v>
      </c>
      <c r="J24" s="150">
        <f t="shared" si="1"/>
        <v>791</v>
      </c>
      <c r="K24" s="161">
        <f>(J24-J25)</f>
        <v>243.33333333333337</v>
      </c>
      <c r="L24" s="174">
        <f>IF(AND(G24=H24,G24=I24),"1000",K24/_xlfn.STDEV.P(G24:I24))</f>
        <v>149.01062601931002</v>
      </c>
      <c r="M24" s="18">
        <f>'Airmass-V'!D6-(('Airmass-V'!D6-1)*(0.0018161+('Airmass-V'!D6-1)*(0.002875+('Airmass-V'!D6-1)*0.0008083)))</f>
        <v>2.0239616584151512</v>
      </c>
      <c r="N24" s="16">
        <f>O24-INDEX(Stars!$D$1:$D$242, MATCH(A24,Stars!$A$1:$A$242,))</f>
        <v>-12.555504013501984</v>
      </c>
      <c r="O24" s="162">
        <f t="shared" si="2"/>
        <v>-5.9655040135019846</v>
      </c>
      <c r="P24" s="17"/>
    </row>
    <row r="25" spans="1:16">
      <c r="A25" s="163"/>
      <c r="B25" s="164"/>
      <c r="C25" s="165"/>
      <c r="D25" s="166" t="s">
        <v>30</v>
      </c>
      <c r="E25" s="104">
        <f t="shared" si="0"/>
        <v>46033</v>
      </c>
      <c r="F25" s="209">
        <v>0.44114583333333335</v>
      </c>
      <c r="G25" s="210">
        <v>549</v>
      </c>
      <c r="H25" s="210">
        <v>548</v>
      </c>
      <c r="I25" s="210">
        <v>546</v>
      </c>
      <c r="J25" s="167">
        <f t="shared" si="1"/>
        <v>547.66666666666663</v>
      </c>
      <c r="K25" s="168"/>
      <c r="L25" s="175">
        <f>IF(AND(G25=H25,G25=I25),"1000",J25/_xlfn.STDEV.P(G25:I25))</f>
        <v>439.11022046211326</v>
      </c>
      <c r="M25" s="169"/>
      <c r="N25" s="170"/>
      <c r="O25" s="171"/>
      <c r="P25" s="7"/>
    </row>
    <row r="26" spans="1:16">
      <c r="A26" s="4"/>
      <c r="B26" s="4"/>
      <c r="C26" s="4"/>
      <c r="D26" s="4"/>
      <c r="E26" s="5"/>
      <c r="F26" s="5"/>
      <c r="G26" s="5"/>
      <c r="H26" s="5"/>
      <c r="I26" s="6"/>
      <c r="J26" s="7"/>
      <c r="K26" s="5"/>
      <c r="L26" s="30"/>
      <c r="M26" s="5"/>
      <c r="N26" s="30"/>
      <c r="O26" s="30"/>
      <c r="P26" s="7"/>
    </row>
    <row r="27" spans="1:16">
      <c r="A27" s="54"/>
      <c r="B27" s="54"/>
      <c r="C27" s="54"/>
      <c r="D27" s="54"/>
      <c r="E27" s="30"/>
      <c r="F27" s="30"/>
      <c r="G27" s="30"/>
      <c r="H27" s="30"/>
      <c r="I27" s="21"/>
      <c r="J27" s="55"/>
      <c r="K27" s="30"/>
      <c r="L27" s="30"/>
      <c r="M27" s="30" t="s">
        <v>35</v>
      </c>
      <c r="N27" s="132">
        <f>(5*(M16*N16+M18*N18+M20*N20+M22*N22+M24*N24)-SUM(M16:M24)*SUM(N16:N24))/(5*(M16^2+M18^2+M20^2+M22^2+M24^2)-((SUM(M16:M24)^2)))</f>
        <v>0.26044288012781786</v>
      </c>
      <c r="O27" s="30"/>
      <c r="P27" s="30"/>
    </row>
    <row r="28" spans="1:16">
      <c r="A28" s="54"/>
      <c r="B28" s="54"/>
      <c r="C28" s="54"/>
      <c r="D28" s="54"/>
      <c r="E28" s="30"/>
      <c r="F28" s="30"/>
      <c r="G28" s="30"/>
      <c r="H28" s="30"/>
      <c r="I28" s="21"/>
      <c r="J28" s="55"/>
      <c r="K28" s="30"/>
      <c r="L28" s="30"/>
      <c r="M28" s="30" t="s">
        <v>36</v>
      </c>
      <c r="N28" s="132">
        <f>((5*(M16*N16+M18*N18+M20*N20+M22*N22+M24*N24)-SUM(M16:M24)*SUM(N16:N24))/((SQRT((5*(M16^2+M18^2+M20^2+M22^2+M24^2)-(SUM(M16:M24)^2))))*(SQRT((5*(N16^2+N18^2+N20^2+N22^2+N24^2)-((SUM(N16:N24)^2)))))))^2</f>
        <v>0.99756343001496506</v>
      </c>
      <c r="O28" s="30"/>
      <c r="P28" s="30"/>
    </row>
    <row r="29" spans="1:16">
      <c r="A29" s="54"/>
      <c r="B29" s="54"/>
      <c r="C29" s="54"/>
      <c r="D29" s="54"/>
      <c r="E29" s="30"/>
      <c r="F29" s="30"/>
      <c r="G29" s="30"/>
      <c r="H29" s="30"/>
      <c r="I29" s="21"/>
      <c r="J29" s="55"/>
      <c r="K29" s="30"/>
      <c r="L29" s="30"/>
      <c r="M29" s="30"/>
      <c r="N29" s="30"/>
      <c r="O29" s="30"/>
      <c r="P29" s="30"/>
    </row>
  </sheetData>
  <sheetProtection sheet="1" selectLockedCells="1"/>
  <conditionalFormatting sqref="L16">
    <cfRule type="cellIs" dxfId="23" priority="10" operator="lessThan">
      <formula>100</formula>
    </cfRule>
  </conditionalFormatting>
  <conditionalFormatting sqref="L17">
    <cfRule type="cellIs" dxfId="22" priority="9" operator="lessThan">
      <formula>50</formula>
    </cfRule>
  </conditionalFormatting>
  <conditionalFormatting sqref="L18">
    <cfRule type="cellIs" dxfId="21" priority="8" operator="lessThan">
      <formula>100</formula>
    </cfRule>
  </conditionalFormatting>
  <conditionalFormatting sqref="L19">
    <cfRule type="cellIs" dxfId="20" priority="7" operator="lessThan">
      <formula>50</formula>
    </cfRule>
  </conditionalFormatting>
  <conditionalFormatting sqref="L20">
    <cfRule type="cellIs" dxfId="19" priority="6" operator="lessThan">
      <formula>100</formula>
    </cfRule>
  </conditionalFormatting>
  <conditionalFormatting sqref="L21">
    <cfRule type="cellIs" dxfId="18" priority="5" operator="lessThan">
      <formula>50</formula>
    </cfRule>
  </conditionalFormatting>
  <conditionalFormatting sqref="L22">
    <cfRule type="cellIs" dxfId="17" priority="4" operator="lessThan">
      <formula>100</formula>
    </cfRule>
  </conditionalFormatting>
  <conditionalFormatting sqref="L23">
    <cfRule type="cellIs" dxfId="16" priority="3" operator="lessThan">
      <formula>50</formula>
    </cfRule>
  </conditionalFormatting>
  <conditionalFormatting sqref="L24">
    <cfRule type="cellIs" dxfId="15" priority="2" operator="lessThan">
      <formula>100</formula>
    </cfRule>
  </conditionalFormatting>
  <conditionalFormatting sqref="L25">
    <cfRule type="cellIs" dxfId="14" priority="1" operator="lessThan">
      <formula>50</formula>
    </cfRule>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43C0-713C-4641-A83E-24207CFE22BE}">
  <sheetPr>
    <tabColor rgb="FF00B0F0"/>
  </sheetPr>
  <dimension ref="A1:P145"/>
  <sheetViews>
    <sheetView zoomScale="130" zoomScaleNormal="130" zoomScalePageLayoutView="150" workbookViewId="0">
      <selection activeCell="E16" sqref="E16"/>
    </sheetView>
  </sheetViews>
  <sheetFormatPr defaultColWidth="11.42578125" defaultRowHeight="12.75"/>
  <cols>
    <col min="1" max="1" width="14.85546875" style="1" customWidth="1"/>
    <col min="2" max="2" width="9.85546875" customWidth="1"/>
    <col min="3" max="3" width="9.7109375" customWidth="1"/>
    <col min="4" max="4" width="14.85546875" customWidth="1"/>
    <col min="5" max="5" width="10.140625" bestFit="1" customWidth="1"/>
    <col min="6" max="6" width="8.28515625" style="2" customWidth="1"/>
    <col min="7" max="7" width="8.28515625" style="3" customWidth="1"/>
    <col min="8" max="15" width="8.28515625" customWidth="1"/>
    <col min="18" max="18" width="12.28515625" bestFit="1" customWidth="1"/>
  </cols>
  <sheetData>
    <row r="1" spans="1:16" ht="14.1" customHeight="1">
      <c r="A1" s="54"/>
      <c r="B1" s="30"/>
      <c r="C1" s="30"/>
      <c r="D1" s="30"/>
      <c r="E1" s="30"/>
      <c r="F1" s="21"/>
      <c r="G1" s="55"/>
      <c r="H1" s="30"/>
      <c r="I1" s="30"/>
      <c r="J1" s="30"/>
      <c r="K1" s="30"/>
      <c r="L1" s="30"/>
      <c r="M1" s="30"/>
      <c r="N1" s="30"/>
      <c r="O1" s="30"/>
    </row>
    <row r="2" spans="1:16" ht="14.1" customHeight="1">
      <c r="A2" s="54"/>
      <c r="B2" s="30"/>
      <c r="C2" s="30"/>
      <c r="D2" s="30"/>
      <c r="E2" s="30"/>
      <c r="F2" s="21"/>
      <c r="G2" s="55"/>
      <c r="H2" s="30"/>
      <c r="I2" s="30"/>
      <c r="J2" s="30"/>
      <c r="K2" s="30"/>
      <c r="L2" s="30"/>
      <c r="M2" s="30"/>
      <c r="N2" s="30"/>
      <c r="O2" s="30"/>
    </row>
    <row r="3" spans="1:16" ht="14.1" customHeight="1">
      <c r="A3" s="54"/>
      <c r="B3" s="30"/>
      <c r="C3" s="30"/>
      <c r="D3" s="30"/>
      <c r="E3" s="30"/>
      <c r="F3" s="21"/>
      <c r="G3" s="55"/>
      <c r="H3" s="30"/>
      <c r="I3" s="30"/>
      <c r="J3" s="30"/>
      <c r="K3" s="30"/>
      <c r="L3" s="30"/>
      <c r="M3" s="30"/>
      <c r="N3" s="30"/>
      <c r="O3" s="30"/>
    </row>
    <row r="4" spans="1:16" ht="14.1" customHeight="1">
      <c r="A4" s="54"/>
      <c r="B4" s="30"/>
      <c r="C4" s="30"/>
      <c r="D4" s="30"/>
      <c r="E4" s="30"/>
      <c r="F4" s="21"/>
      <c r="G4" s="55"/>
      <c r="H4" s="30"/>
      <c r="I4" s="30"/>
      <c r="J4" s="30"/>
      <c r="K4" s="30"/>
      <c r="L4" s="30"/>
      <c r="M4" s="30"/>
      <c r="N4" s="30"/>
      <c r="O4" s="30"/>
    </row>
    <row r="5" spans="1:16" ht="14.1" customHeight="1">
      <c r="A5" s="54"/>
      <c r="B5" s="30"/>
      <c r="C5" s="30"/>
      <c r="D5" s="30"/>
      <c r="E5" s="30"/>
      <c r="F5" s="21"/>
      <c r="G5" s="55"/>
      <c r="H5" s="30"/>
      <c r="I5" s="30"/>
      <c r="J5" s="30"/>
      <c r="K5" s="30"/>
      <c r="L5" s="30"/>
      <c r="M5" s="30"/>
      <c r="N5" s="30"/>
      <c r="O5" s="30"/>
    </row>
    <row r="6" spans="1:16" ht="14.1" customHeight="1">
      <c r="A6" s="54"/>
      <c r="B6" s="30"/>
      <c r="C6" s="30"/>
      <c r="D6" s="30"/>
      <c r="E6" s="30"/>
      <c r="F6" s="21"/>
      <c r="G6" s="55"/>
      <c r="H6" s="30"/>
      <c r="I6" s="30"/>
      <c r="J6" s="30"/>
      <c r="K6" s="30"/>
      <c r="L6" s="30"/>
      <c r="M6" s="30"/>
      <c r="N6" s="30"/>
      <c r="O6" s="30"/>
    </row>
    <row r="7" spans="1:16" ht="14.1" customHeight="1">
      <c r="A7" s="54"/>
      <c r="B7" s="30"/>
      <c r="C7" s="30"/>
      <c r="D7" s="30"/>
      <c r="E7" s="30"/>
      <c r="F7" s="21"/>
      <c r="G7" s="55"/>
      <c r="H7" s="30"/>
      <c r="I7" s="30"/>
      <c r="J7" s="30"/>
      <c r="K7" s="30"/>
      <c r="L7" s="30"/>
      <c r="M7" s="30"/>
      <c r="N7" s="30"/>
      <c r="O7" s="30"/>
    </row>
    <row r="8" spans="1:16" ht="14.1" customHeight="1">
      <c r="A8" s="54"/>
      <c r="B8" s="30"/>
      <c r="C8" s="30"/>
      <c r="D8" s="30"/>
      <c r="E8" s="30"/>
      <c r="F8" s="21"/>
      <c r="G8" s="55"/>
      <c r="H8" s="30"/>
      <c r="I8" s="30"/>
      <c r="J8" s="30"/>
      <c r="K8" s="30"/>
      <c r="L8" s="30"/>
      <c r="M8" s="30"/>
      <c r="N8" s="30"/>
      <c r="O8" s="30"/>
    </row>
    <row r="9" spans="1:16" ht="14.1" customHeight="1">
      <c r="A9" s="4"/>
      <c r="B9" s="5"/>
      <c r="C9" s="5"/>
      <c r="D9" s="5"/>
      <c r="E9" s="5"/>
      <c r="F9" s="6"/>
      <c r="G9" s="7"/>
      <c r="H9" s="5"/>
      <c r="I9" s="6"/>
      <c r="J9" s="7"/>
      <c r="K9" s="5"/>
      <c r="L9" s="5"/>
      <c r="M9" s="5"/>
      <c r="N9" s="30"/>
      <c r="O9" s="30"/>
    </row>
    <row r="10" spans="1:16" ht="14.1" customHeight="1">
      <c r="A10" s="4"/>
      <c r="B10" s="31"/>
      <c r="C10" s="8"/>
      <c r="D10" s="8"/>
      <c r="E10" s="9"/>
      <c r="F10" s="10"/>
      <c r="G10" s="11"/>
      <c r="H10" s="5"/>
      <c r="I10" s="6"/>
      <c r="J10" s="7"/>
      <c r="K10" s="5"/>
      <c r="L10" s="5"/>
      <c r="M10" s="5"/>
      <c r="N10" s="30"/>
      <c r="O10" s="24"/>
      <c r="P10" s="20"/>
    </row>
    <row r="11" spans="1:16" ht="14.1" customHeight="1">
      <c r="A11" s="4" t="s">
        <v>9</v>
      </c>
      <c r="B11" s="180" t="s">
        <v>37</v>
      </c>
      <c r="C11" s="8"/>
      <c r="D11" s="8"/>
      <c r="E11" s="9"/>
      <c r="F11" s="21"/>
      <c r="G11" s="11"/>
      <c r="H11" s="5"/>
      <c r="I11" s="6"/>
      <c r="J11" s="7"/>
      <c r="K11" s="5"/>
      <c r="L11" s="5"/>
      <c r="M11" s="5"/>
      <c r="N11" s="30"/>
      <c r="O11" s="30"/>
    </row>
    <row r="12" spans="1:16" ht="14.1" customHeight="1">
      <c r="A12" s="4" t="s">
        <v>11</v>
      </c>
      <c r="B12" s="32">
        <f>'Data Entry-V'!B12</f>
        <v>46033</v>
      </c>
      <c r="C12" s="9"/>
      <c r="D12" s="12"/>
      <c r="E12" s="16"/>
      <c r="F12" s="21"/>
      <c r="G12" s="11"/>
      <c r="H12" s="5"/>
      <c r="I12" s="6"/>
      <c r="J12" s="7"/>
      <c r="K12" s="5"/>
      <c r="L12" s="5"/>
      <c r="M12" s="5"/>
      <c r="N12" s="30"/>
      <c r="O12" s="30"/>
    </row>
    <row r="13" spans="1:16" ht="14.1" customHeight="1">
      <c r="A13" s="4" t="s">
        <v>12</v>
      </c>
      <c r="B13" s="33">
        <v>10</v>
      </c>
      <c r="C13" s="9"/>
      <c r="D13" s="4" t="s">
        <v>13</v>
      </c>
      <c r="E13" s="33">
        <f>'Data Entry-V'!E13</f>
        <v>10</v>
      </c>
      <c r="F13" s="5"/>
      <c r="G13" s="11"/>
      <c r="H13" s="5"/>
      <c r="I13" s="6"/>
      <c r="J13" s="7"/>
      <c r="K13" s="5"/>
      <c r="L13" s="5"/>
      <c r="M13" s="5"/>
      <c r="N13" s="30"/>
      <c r="O13" s="30"/>
    </row>
    <row r="14" spans="1:16" ht="14.1" customHeight="1">
      <c r="A14" s="4"/>
      <c r="B14" s="4"/>
      <c r="C14" s="4"/>
      <c r="D14" s="4"/>
      <c r="E14" s="5"/>
      <c r="F14" s="5"/>
      <c r="G14" s="5"/>
      <c r="H14" s="5"/>
      <c r="I14" s="6"/>
      <c r="J14" s="7"/>
      <c r="K14" s="5"/>
      <c r="L14" s="5"/>
      <c r="M14" s="5"/>
      <c r="N14" s="30"/>
      <c r="O14" s="30"/>
    </row>
    <row r="15" spans="1:16" ht="25.5">
      <c r="A15" s="4" t="s">
        <v>14</v>
      </c>
      <c r="B15" s="4" t="s">
        <v>15</v>
      </c>
      <c r="C15" s="4" t="s">
        <v>16</v>
      </c>
      <c r="D15" s="4"/>
      <c r="E15" s="52" t="s">
        <v>17</v>
      </c>
      <c r="F15" s="52" t="s">
        <v>18</v>
      </c>
      <c r="G15" s="52" t="s">
        <v>19</v>
      </c>
      <c r="H15" s="52" t="s">
        <v>20</v>
      </c>
      <c r="I15" s="52" t="s">
        <v>21</v>
      </c>
      <c r="J15" s="25" t="s">
        <v>22</v>
      </c>
      <c r="K15" s="26" t="s">
        <v>23</v>
      </c>
      <c r="L15" s="179" t="s">
        <v>24</v>
      </c>
      <c r="M15" s="19" t="s">
        <v>25</v>
      </c>
      <c r="N15" s="35" t="s">
        <v>38</v>
      </c>
      <c r="O15" s="36" t="s">
        <v>39</v>
      </c>
      <c r="P15" s="53"/>
    </row>
    <row r="16" spans="1:16" ht="14.25">
      <c r="A16" s="182" t="str">
        <f>'Data Entry-V'!A16</f>
        <v>KSI2 CMA</v>
      </c>
      <c r="B16" s="57">
        <f>'Data Entry-V'!B16</f>
        <v>6.5842999999999998</v>
      </c>
      <c r="C16" s="57">
        <f>'Data Entry-V'!C16</f>
        <v>-22.9648</v>
      </c>
      <c r="D16" s="58" t="s">
        <v>29</v>
      </c>
      <c r="E16" s="102">
        <f>B12</f>
        <v>46033</v>
      </c>
      <c r="F16" s="97"/>
      <c r="G16" s="85"/>
      <c r="H16" s="85"/>
      <c r="I16" s="85"/>
      <c r="J16" s="56" t="e">
        <f>AVERAGE(G16:I16)</f>
        <v>#DIV/0!</v>
      </c>
      <c r="K16" s="13" t="e">
        <f>(J16-J17)</f>
        <v>#DIV/0!</v>
      </c>
      <c r="L16" s="6" t="str">
        <f>IF(AND(G16=H16,G16=I16),"1000",K16/_xlfn.STDEV.P(G16:I16))</f>
        <v>1000</v>
      </c>
      <c r="M16" s="18">
        <f>'Airmass-B'!D2-(('Airmass-B'!D2-1)*(0.0018161+('Airmass-B'!D2-1)*(0.002875+('Airmass-B'!D2-1)*0.0008083)))</f>
        <v>-2.0037607751349311</v>
      </c>
      <c r="N16" s="16" t="e">
        <f>O16-(INDEX(Stars!$D$1:$D$242, MATCH(A16,Stars!$A$1:$A$242,))+INDEX(Stars!$E$1:$E$242, MATCH(A16,Stars!$A$1:$A$242,)))</f>
        <v>#DIV/0!</v>
      </c>
      <c r="O16" s="17" t="e">
        <f>-2.5*LOG10(K16)</f>
        <v>#DIV/0!</v>
      </c>
      <c r="P16" s="17"/>
    </row>
    <row r="17" spans="1:16">
      <c r="A17" s="59"/>
      <c r="B17" s="59"/>
      <c r="C17" s="59"/>
      <c r="D17" s="59" t="s">
        <v>30</v>
      </c>
      <c r="E17" s="115">
        <f>E16</f>
        <v>46033</v>
      </c>
      <c r="F17" s="111"/>
      <c r="G17" s="91"/>
      <c r="H17" s="91"/>
      <c r="I17" s="91"/>
      <c r="J17" s="56" t="e">
        <f t="shared" ref="J17:J25" si="0">AVERAGE(G17:I17)</f>
        <v>#DIV/0!</v>
      </c>
      <c r="K17" s="14"/>
      <c r="L17" s="6" t="str">
        <f>IF(AND(G17=H17,G17=I17),"1000",J17/_xlfn.STDEV.P(G17:I17))</f>
        <v>1000</v>
      </c>
      <c r="M17" s="18"/>
      <c r="N17" s="34"/>
      <c r="O17" s="17"/>
      <c r="P17" s="17"/>
    </row>
    <row r="18" spans="1:16" ht="14.25">
      <c r="A18" s="183" t="str">
        <f>'Data Entry-V'!A18</f>
        <v>60 ORI</v>
      </c>
      <c r="B18" s="60">
        <f>'Data Entry-V'!B18</f>
        <v>5.9804000000000004</v>
      </c>
      <c r="C18" s="60">
        <f>'Data Entry-V'!C18</f>
        <v>0.55300000000000005</v>
      </c>
      <c r="D18" s="61" t="s">
        <v>29</v>
      </c>
      <c r="E18" s="120">
        <f t="shared" ref="E18:E25" si="1">E17</f>
        <v>46033</v>
      </c>
      <c r="F18" s="98"/>
      <c r="G18" s="77"/>
      <c r="H18" s="77"/>
      <c r="I18" s="77"/>
      <c r="J18" s="15" t="e">
        <f t="shared" si="0"/>
        <v>#DIV/0!</v>
      </c>
      <c r="K18" s="14" t="e">
        <f>(J18-J19)</f>
        <v>#DIV/0!</v>
      </c>
      <c r="L18" s="6" t="str">
        <f>IF(AND(G18=H18,G18=I18),"1000",K18/_xlfn.STDEV.P(G18:I18))</f>
        <v>1000</v>
      </c>
      <c r="M18" s="18">
        <f>'Airmass-B'!D3-(('Airmass-B'!D3-1)*(0.0018161+('Airmass-B'!D3-1)*(0.002875+('Airmass-B'!D3-1)*0.0008083)))</f>
        <v>-1.2868402388009303</v>
      </c>
      <c r="N18" s="16" t="e">
        <f>O18-(INDEX(Stars!$D$1:$D$242, MATCH(A18,Stars!$A$1:$A$242,))+INDEX(Stars!$E$1:$E$242, MATCH(A18,Stars!$A$1:$A$242,)))</f>
        <v>#DIV/0!</v>
      </c>
      <c r="O18" s="17" t="e">
        <f t="shared" ref="O18:O24" si="2">-2.5*LOG10(K18)</f>
        <v>#DIV/0!</v>
      </c>
      <c r="P18" s="17"/>
    </row>
    <row r="19" spans="1:16">
      <c r="A19" s="62"/>
      <c r="B19" s="62"/>
      <c r="C19" s="62"/>
      <c r="D19" s="62" t="s">
        <v>30</v>
      </c>
      <c r="E19" s="119">
        <f t="shared" si="1"/>
        <v>46033</v>
      </c>
      <c r="F19" s="112"/>
      <c r="G19" s="78"/>
      <c r="H19" s="78"/>
      <c r="I19" s="79"/>
      <c r="J19" s="15" t="e">
        <f t="shared" si="0"/>
        <v>#DIV/0!</v>
      </c>
      <c r="K19" s="14"/>
      <c r="L19" s="6" t="str">
        <f>IF(AND(G19=H19,G19=I19),"1000",J19/_xlfn.STDEV.P(G19:I19))</f>
        <v>1000</v>
      </c>
      <c r="M19" s="18"/>
      <c r="N19" s="34"/>
      <c r="O19" s="17"/>
      <c r="P19" s="17"/>
    </row>
    <row r="20" spans="1:16" ht="14.25">
      <c r="A20" s="184" t="str">
        <f>'Data Entry-V'!A20</f>
        <v>HD 55111</v>
      </c>
      <c r="B20" s="63">
        <f>'Data Entry-V'!B20</f>
        <v>7.1976000000000004</v>
      </c>
      <c r="C20" s="63">
        <f>'Data Entry-V'!C20</f>
        <v>5.6547000000000001</v>
      </c>
      <c r="D20" s="64" t="s">
        <v>29</v>
      </c>
      <c r="E20" s="121">
        <f t="shared" si="1"/>
        <v>46033</v>
      </c>
      <c r="F20" s="99"/>
      <c r="G20" s="80"/>
      <c r="H20" s="80"/>
      <c r="I20" s="80"/>
      <c r="J20" s="15" t="e">
        <f t="shared" si="0"/>
        <v>#DIV/0!</v>
      </c>
      <c r="K20" s="14" t="e">
        <f>(J20-J21)</f>
        <v>#DIV/0!</v>
      </c>
      <c r="L20" s="6" t="str">
        <f>IF(AND(G20=H20,G20=I20),"1000",K20/_xlfn.STDEV.P(G20:I20))</f>
        <v>1000</v>
      </c>
      <c r="M20" s="18">
        <f>'Airmass-B'!D4-(('Airmass-B'!D4-1)*(0.0018161+('Airmass-B'!D4-1)*(0.002875+('Airmass-B'!D4-1)*0.0008083)))</f>
        <v>-1.1716358417119728</v>
      </c>
      <c r="N20" s="16" t="e">
        <f>O20-(INDEX(Stars!$D$1:$D$242, MATCH(A20,Stars!$A$1:$A$242,))+INDEX(Stars!$E$1:$E$242, MATCH(A20,Stars!$A$1:$A$242,)))</f>
        <v>#DIV/0!</v>
      </c>
      <c r="O20" s="17" t="e">
        <f t="shared" si="2"/>
        <v>#DIV/0!</v>
      </c>
      <c r="P20" s="17"/>
    </row>
    <row r="21" spans="1:16">
      <c r="A21" s="65"/>
      <c r="B21" s="65"/>
      <c r="C21" s="65"/>
      <c r="D21" s="65" t="s">
        <v>30</v>
      </c>
      <c r="E21" s="118">
        <f t="shared" si="1"/>
        <v>46033</v>
      </c>
      <c r="F21" s="113"/>
      <c r="G21" s="81"/>
      <c r="H21" s="81"/>
      <c r="I21" s="82"/>
      <c r="J21" s="15" t="e">
        <f t="shared" si="0"/>
        <v>#DIV/0!</v>
      </c>
      <c r="K21" s="14"/>
      <c r="L21" s="6" t="str">
        <f>IF(AND(G21=H21,G21=I21),"1000",J21/_xlfn.STDEV.P(G21:I21))</f>
        <v>1000</v>
      </c>
      <c r="M21" s="18"/>
      <c r="N21" s="34"/>
      <c r="O21" s="17"/>
      <c r="P21" s="17"/>
    </row>
    <row r="22" spans="1:16" ht="14.25">
      <c r="A22" s="185" t="str">
        <f>'Data Entry-V'!A22</f>
        <v>HD 65900</v>
      </c>
      <c r="B22" s="66">
        <f>'Data Entry-V'!B22</f>
        <v>8.0205000000000002</v>
      </c>
      <c r="C22" s="66">
        <f>'Data Entry-V'!C22</f>
        <v>4.8666999999999998</v>
      </c>
      <c r="D22" s="67" t="s">
        <v>29</v>
      </c>
      <c r="E22" s="133">
        <f t="shared" si="1"/>
        <v>46033</v>
      </c>
      <c r="F22" s="100"/>
      <c r="G22" s="83"/>
      <c r="H22" s="83"/>
      <c r="I22" s="83"/>
      <c r="J22" s="15" t="e">
        <f t="shared" si="0"/>
        <v>#DIV/0!</v>
      </c>
      <c r="K22" s="14" t="e">
        <f>(J22-J23)</f>
        <v>#DIV/0!</v>
      </c>
      <c r="L22" s="6" t="str">
        <f>IF(AND(G22=H22,G22=I22),"1000",K22/_xlfn.STDEV.P(G22:I22))</f>
        <v>1000</v>
      </c>
      <c r="M22" s="18">
        <f>'Airmass-B'!D5-(('Airmass-B'!D5-1)*(0.0018161+('Airmass-B'!D5-1)*(0.002875+('Airmass-B'!D5-1)*0.0008083)))</f>
        <v>-1.2207795058364548</v>
      </c>
      <c r="N22" s="16" t="e">
        <f>O22-(INDEX(Stars!$D$1:$D$242, MATCH(A22,Stars!$A$1:$A$242,))+INDEX(Stars!$E$1:$E$242, MATCH(A22,Stars!$A$1:$A$242,)))</f>
        <v>#DIV/0!</v>
      </c>
      <c r="O22" s="17" t="e">
        <f t="shared" si="2"/>
        <v>#DIV/0!</v>
      </c>
      <c r="P22" s="17"/>
    </row>
    <row r="23" spans="1:16">
      <c r="A23" s="68"/>
      <c r="B23" s="68"/>
      <c r="C23" s="68"/>
      <c r="D23" s="68" t="s">
        <v>30</v>
      </c>
      <c r="E23" s="117">
        <f t="shared" si="1"/>
        <v>46033</v>
      </c>
      <c r="F23" s="100"/>
      <c r="G23" s="83"/>
      <c r="H23" s="83"/>
      <c r="I23" s="83"/>
      <c r="J23" s="15" t="e">
        <f t="shared" si="0"/>
        <v>#DIV/0!</v>
      </c>
      <c r="K23" s="14"/>
      <c r="L23" s="6" t="str">
        <f>IF(AND(G23=H23,G23=I23),"1000",J23/_xlfn.STDEV.P(G23:I23))</f>
        <v>1000</v>
      </c>
      <c r="M23" s="18"/>
      <c r="N23" s="34"/>
      <c r="O23" s="17"/>
      <c r="P23" s="17"/>
    </row>
    <row r="24" spans="1:16" ht="14.25">
      <c r="A24" s="186" t="str">
        <f>'Data Entry-V'!A24</f>
        <v>HD 76757</v>
      </c>
      <c r="B24" s="69">
        <f>'Data Entry-V'!B24</f>
        <v>8.9688999999999997</v>
      </c>
      <c r="C24" s="69">
        <f>'Data Entry-V'!C24</f>
        <v>1.5416000000000001</v>
      </c>
      <c r="D24" s="70" t="s">
        <v>29</v>
      </c>
      <c r="E24" s="122">
        <f t="shared" si="1"/>
        <v>46033</v>
      </c>
      <c r="F24" s="101"/>
      <c r="G24" s="86"/>
      <c r="H24" s="86"/>
      <c r="I24" s="86"/>
      <c r="J24" s="15" t="e">
        <f t="shared" si="0"/>
        <v>#DIV/0!</v>
      </c>
      <c r="K24" s="14" t="e">
        <f>(J24-J25)</f>
        <v>#DIV/0!</v>
      </c>
      <c r="L24" s="6" t="str">
        <f>IF(AND(G24=H24,G24=I24),"1000",K24/_xlfn.STDEV.P(G24:I24))</f>
        <v>1000</v>
      </c>
      <c r="M24" s="18">
        <f>'Airmass-B'!D6-(('Airmass-B'!D6-1)*(0.0018161+('Airmass-B'!D6-1)*(0.002875+('Airmass-B'!D6-1)*0.0008083)))</f>
        <v>-1.405163022796851</v>
      </c>
      <c r="N24" s="16" t="e">
        <f>O24-(INDEX(Stars!$D$1:$D$242, MATCH(A24,Stars!$A$1:$A$242,))+INDEX(Stars!$E$1:$E$242, MATCH(A24,Stars!$A$1:$A$242,)))</f>
        <v>#DIV/0!</v>
      </c>
      <c r="O24" s="17" t="e">
        <f t="shared" si="2"/>
        <v>#DIV/0!</v>
      </c>
      <c r="P24" s="17"/>
    </row>
    <row r="25" spans="1:16">
      <c r="A25" s="71"/>
      <c r="B25" s="71"/>
      <c r="C25" s="71"/>
      <c r="D25" s="71" t="s">
        <v>30</v>
      </c>
      <c r="E25" s="116">
        <f t="shared" si="1"/>
        <v>46033</v>
      </c>
      <c r="F25" s="114"/>
      <c r="G25" s="84"/>
      <c r="H25" s="84"/>
      <c r="I25" s="92"/>
      <c r="J25" s="72" t="e">
        <f t="shared" si="0"/>
        <v>#DIV/0!</v>
      </c>
      <c r="K25" s="73"/>
      <c r="L25" s="178" t="str">
        <f>IF(AND(G25=H25,G25=I25),"1000",J25/_xlfn.STDEV.P(G25:I25))</f>
        <v>1000</v>
      </c>
      <c r="M25" s="74"/>
      <c r="N25" s="75"/>
      <c r="O25" s="76"/>
      <c r="P25" s="17"/>
    </row>
    <row r="26" spans="1:16">
      <c r="A26" s="4"/>
      <c r="B26" s="4"/>
      <c r="C26" s="4"/>
      <c r="D26" s="4"/>
      <c r="E26" s="5"/>
      <c r="F26" s="5"/>
      <c r="G26" s="5"/>
      <c r="H26" s="5"/>
      <c r="I26" s="5"/>
      <c r="J26" s="6"/>
      <c r="K26" s="7"/>
      <c r="L26" s="7"/>
      <c r="M26" s="5"/>
      <c r="N26" s="5"/>
      <c r="O26" s="30"/>
      <c r="P26" s="30"/>
    </row>
    <row r="27" spans="1:16">
      <c r="A27" s="30"/>
      <c r="B27" s="30"/>
      <c r="C27" s="30"/>
      <c r="D27" s="30"/>
      <c r="E27" s="30"/>
      <c r="F27" s="30"/>
      <c r="G27" s="30"/>
      <c r="H27" s="30"/>
      <c r="I27" s="30"/>
      <c r="J27" s="30"/>
      <c r="K27" s="30"/>
      <c r="L27" s="30"/>
      <c r="M27" s="30" t="s">
        <v>40</v>
      </c>
      <c r="N27" s="132" t="e">
        <f>(5*(M16*N16+M18*N18+M20*N20+M22*N22+M24*N24)-SUM(M16:M24)*SUM(N16:N24))/(5*(M16^2+M18^2+M20^2+M22^2+M24^2)-((SUM(M16:M24)^2)))</f>
        <v>#DIV/0!</v>
      </c>
      <c r="O27" s="30"/>
      <c r="P27" s="30"/>
    </row>
    <row r="28" spans="1:16">
      <c r="A28" s="30"/>
      <c r="B28" s="30"/>
      <c r="C28" s="30"/>
      <c r="D28" s="30"/>
      <c r="E28" s="30"/>
      <c r="F28" s="30"/>
      <c r="G28" s="30"/>
      <c r="H28" s="30"/>
      <c r="I28" s="30"/>
      <c r="J28" s="30"/>
      <c r="K28" s="30"/>
      <c r="L28" s="30"/>
      <c r="M28" s="30" t="s">
        <v>36</v>
      </c>
      <c r="N28" s="132" t="e">
        <f>((5*(M16*N16+M18*N18+M20*N20+M22*N22+M24*N24)-SUM(M16:M24)*SUM(N16:N24))/((SQRT((5*(M16^2+M18^2+M20^2+M22^2+M24^2)-(SUM(M16:M24)^2))))*(SQRT((5*(N16^2+N18^2+N20^2+N22^2+N24^2)-((SUM(N16:N24)^2)))))))^2</f>
        <v>#DIV/0!</v>
      </c>
      <c r="O28" s="30"/>
      <c r="P28" s="30"/>
    </row>
    <row r="29" spans="1:16">
      <c r="A29" s="30"/>
      <c r="B29" s="30"/>
      <c r="C29" s="30"/>
      <c r="D29" s="30"/>
      <c r="E29" s="30"/>
      <c r="F29" s="30"/>
      <c r="G29" s="30"/>
      <c r="H29" s="30"/>
      <c r="I29" s="30"/>
      <c r="J29" s="30"/>
      <c r="K29" s="30"/>
      <c r="L29" s="30"/>
      <c r="M29" s="30"/>
      <c r="N29" s="30"/>
      <c r="O29" s="30"/>
      <c r="P29" s="30"/>
    </row>
    <row r="30" spans="1:16">
      <c r="A30"/>
      <c r="F30"/>
      <c r="G30"/>
    </row>
    <row r="31" spans="1:16">
      <c r="A31"/>
      <c r="F31"/>
      <c r="G31"/>
    </row>
    <row r="32" spans="1:16">
      <c r="A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spans="1:7">
      <c r="A49"/>
      <c r="F49"/>
      <c r="G49"/>
    </row>
    <row r="50" spans="1:7">
      <c r="A50"/>
      <c r="F50"/>
      <c r="G50"/>
    </row>
    <row r="51" spans="1:7">
      <c r="A51"/>
      <c r="F51"/>
      <c r="G51"/>
    </row>
    <row r="52" spans="1:7">
      <c r="A52"/>
      <c r="F52"/>
      <c r="G52"/>
    </row>
    <row r="53" spans="1:7">
      <c r="A53"/>
      <c r="F53"/>
      <c r="G53"/>
    </row>
    <row r="54" spans="1:7">
      <c r="A54"/>
      <c r="F54"/>
      <c r="G54"/>
    </row>
    <row r="55" spans="1:7">
      <c r="A55" s="28"/>
      <c r="F55"/>
      <c r="G55"/>
    </row>
    <row r="56" spans="1:7">
      <c r="A56" s="28"/>
      <c r="F56"/>
      <c r="G56"/>
    </row>
    <row r="57" spans="1:7">
      <c r="A57" s="28"/>
      <c r="F57"/>
      <c r="G57"/>
    </row>
    <row r="58" spans="1:7">
      <c r="A58"/>
      <c r="F58"/>
      <c r="G58"/>
    </row>
    <row r="59" spans="1:7">
      <c r="A59"/>
      <c r="F59"/>
      <c r="G59"/>
    </row>
    <row r="60" spans="1:7">
      <c r="A60"/>
      <c r="F60"/>
      <c r="G60"/>
    </row>
    <row r="61" spans="1:7">
      <c r="A61"/>
      <c r="F61"/>
      <c r="G61"/>
    </row>
    <row r="62" spans="1:7">
      <c r="A62"/>
      <c r="F62"/>
      <c r="G62"/>
    </row>
    <row r="63" spans="1:7">
      <c r="A63"/>
      <c r="F63"/>
      <c r="G63"/>
    </row>
    <row r="64" spans="1:7">
      <c r="A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1:7">
      <c r="A81"/>
      <c r="F81"/>
      <c r="G81"/>
    </row>
    <row r="82" spans="1:7">
      <c r="A82"/>
      <c r="F82"/>
      <c r="G82"/>
    </row>
    <row r="83" spans="1:7">
      <c r="A83" s="28"/>
      <c r="F83"/>
      <c r="G83"/>
    </row>
    <row r="84" spans="1:7">
      <c r="A84" s="28"/>
      <c r="F84"/>
      <c r="G84"/>
    </row>
    <row r="85" spans="1:7">
      <c r="A85" s="28"/>
      <c r="F85"/>
      <c r="G85"/>
    </row>
    <row r="86" spans="1:7">
      <c r="A86"/>
      <c r="F86"/>
      <c r="G86"/>
    </row>
    <row r="87" spans="1:7">
      <c r="A87"/>
      <c r="F87"/>
      <c r="G87"/>
    </row>
    <row r="88" spans="1:7">
      <c r="A88"/>
      <c r="F88"/>
      <c r="G88"/>
    </row>
    <row r="89" spans="1:7">
      <c r="A89"/>
      <c r="F89"/>
      <c r="G89"/>
    </row>
    <row r="90" spans="1:7">
      <c r="A90"/>
      <c r="F90"/>
      <c r="G90"/>
    </row>
    <row r="91" spans="1:7">
      <c r="A91"/>
      <c r="F91"/>
      <c r="G91"/>
    </row>
    <row r="92" spans="1:7">
      <c r="A92"/>
      <c r="F92"/>
      <c r="G92"/>
    </row>
    <row r="93" spans="1:7">
      <c r="A93"/>
      <c r="F93"/>
      <c r="G93"/>
    </row>
    <row r="94" spans="1:7">
      <c r="A94"/>
      <c r="F94"/>
      <c r="G94"/>
    </row>
    <row r="95" spans="1:7">
      <c r="A95"/>
      <c r="F95"/>
      <c r="G95"/>
    </row>
    <row r="96" spans="1:7">
      <c r="A96"/>
      <c r="F96"/>
      <c r="G96"/>
    </row>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spans="1:7">
      <c r="A113" s="28"/>
      <c r="F113"/>
      <c r="G113"/>
    </row>
    <row r="114" spans="1:7">
      <c r="A114" s="28"/>
      <c r="F114"/>
      <c r="G114"/>
    </row>
    <row r="115" spans="1:7">
      <c r="A115" s="28"/>
      <c r="F115"/>
      <c r="G115"/>
    </row>
    <row r="116" spans="1:7">
      <c r="A116"/>
      <c r="F116"/>
      <c r="G116"/>
    </row>
    <row r="117" spans="1:7">
      <c r="A117"/>
      <c r="F117"/>
      <c r="G117"/>
    </row>
    <row r="118" spans="1:7">
      <c r="A118"/>
      <c r="F118"/>
      <c r="G118"/>
    </row>
    <row r="119" spans="1:7">
      <c r="A119"/>
      <c r="F119"/>
      <c r="G119"/>
    </row>
    <row r="120" spans="1:7">
      <c r="A120"/>
      <c r="F120"/>
      <c r="G120"/>
    </row>
    <row r="121" spans="1:7">
      <c r="A121"/>
      <c r="F121"/>
      <c r="G121"/>
    </row>
    <row r="122" spans="1:7">
      <c r="A122"/>
      <c r="F122"/>
      <c r="G122"/>
    </row>
    <row r="123" spans="1:7">
      <c r="A123"/>
      <c r="F123"/>
      <c r="G123"/>
    </row>
    <row r="124" spans="1:7">
      <c r="A124"/>
      <c r="F124"/>
      <c r="G124"/>
    </row>
    <row r="125" spans="1:7">
      <c r="A125"/>
      <c r="F125"/>
      <c r="G125"/>
    </row>
    <row r="126" spans="1:7">
      <c r="A126"/>
      <c r="F126"/>
      <c r="G126"/>
    </row>
    <row r="127" spans="1:7">
      <c r="A127"/>
      <c r="F127"/>
      <c r="G127"/>
    </row>
    <row r="128" spans="1:7">
      <c r="A128"/>
      <c r="F128"/>
      <c r="G128"/>
    </row>
    <row r="129" spans="1:15">
      <c r="A129"/>
      <c r="F129"/>
      <c r="G129"/>
    </row>
    <row r="130" spans="1:15">
      <c r="A130"/>
      <c r="F130"/>
      <c r="G130"/>
    </row>
    <row r="131" spans="1:15">
      <c r="A131"/>
      <c r="F131"/>
      <c r="G131"/>
    </row>
    <row r="132" spans="1:15">
      <c r="A132"/>
      <c r="F132"/>
      <c r="G132"/>
    </row>
    <row r="133" spans="1:15">
      <c r="A133"/>
      <c r="F133"/>
      <c r="G133"/>
    </row>
    <row r="134" spans="1:15">
      <c r="A134"/>
      <c r="F134"/>
      <c r="G134"/>
    </row>
    <row r="135" spans="1:15">
      <c r="A135"/>
      <c r="F135"/>
      <c r="G135"/>
    </row>
    <row r="136" spans="1:15">
      <c r="A136"/>
      <c r="F136"/>
      <c r="G136"/>
    </row>
    <row r="137" spans="1:15">
      <c r="A137"/>
      <c r="F137"/>
      <c r="G137"/>
    </row>
    <row r="143" spans="1:15">
      <c r="O143" s="28"/>
    </row>
    <row r="144" spans="1:15">
      <c r="O144" s="28"/>
    </row>
    <row r="145" spans="15:15">
      <c r="O145" s="28"/>
    </row>
  </sheetData>
  <sheetProtection sheet="1" selectLockedCells="1"/>
  <conditionalFormatting sqref="L16">
    <cfRule type="cellIs" dxfId="13" priority="11" operator="lessThan">
      <formula>100</formula>
    </cfRule>
  </conditionalFormatting>
  <conditionalFormatting sqref="L17">
    <cfRule type="cellIs" dxfId="12" priority="10" operator="lessThan">
      <formula>50</formula>
    </cfRule>
  </conditionalFormatting>
  <conditionalFormatting sqref="L18">
    <cfRule type="cellIs" dxfId="11" priority="9" operator="lessThan">
      <formula>100</formula>
    </cfRule>
  </conditionalFormatting>
  <conditionalFormatting sqref="L19">
    <cfRule type="cellIs" dxfId="10" priority="8" operator="lessThan">
      <formula>50</formula>
    </cfRule>
  </conditionalFormatting>
  <conditionalFormatting sqref="L20">
    <cfRule type="cellIs" dxfId="9" priority="7" operator="lessThan">
      <formula>100</formula>
    </cfRule>
  </conditionalFormatting>
  <conditionalFormatting sqref="L21">
    <cfRule type="cellIs" dxfId="8" priority="6" operator="lessThan">
      <formula>50</formula>
    </cfRule>
  </conditionalFormatting>
  <conditionalFormatting sqref="L22">
    <cfRule type="cellIs" dxfId="7" priority="5" operator="lessThan">
      <formula>100</formula>
    </cfRule>
  </conditionalFormatting>
  <conditionalFormatting sqref="L23">
    <cfRule type="cellIs" dxfId="6" priority="4" operator="lessThan">
      <formula>50</formula>
    </cfRule>
  </conditionalFormatting>
  <conditionalFormatting sqref="L24">
    <cfRule type="cellIs" dxfId="5" priority="3" operator="lessThan">
      <formula>100</formula>
    </cfRule>
  </conditionalFormatting>
  <conditionalFormatting sqref="L25">
    <cfRule type="cellIs" dxfId="4" priority="1" operator="lessThan">
      <formula>50</formula>
    </cfRule>
  </conditionalFormatting>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&amp;CPagina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65EE3-CBE6-47F3-8346-5C958F48247C}">
  <dimension ref="A1:AI176"/>
  <sheetViews>
    <sheetView zoomScaleNormal="120" zoomScalePageLayoutView="150" workbookViewId="0">
      <pane ySplit="1" topLeftCell="A47" activePane="bottomLeft" state="frozen"/>
      <selection pane="bottomLeft" activeCell="AC60" sqref="AC60"/>
    </sheetView>
  </sheetViews>
  <sheetFormatPr defaultColWidth="10.85546875" defaultRowHeight="15.75"/>
  <cols>
    <col min="1" max="1" width="10.85546875" style="38" customWidth="1"/>
    <col min="2" max="2" width="13.28515625" style="37" bestFit="1" customWidth="1"/>
    <col min="3" max="3" width="13.7109375" style="37" bestFit="1" customWidth="1"/>
    <col min="4" max="4" width="5.140625" style="40" bestFit="1" customWidth="1"/>
    <col min="5" max="6" width="5.85546875" style="40" bestFit="1" customWidth="1"/>
    <col min="7" max="19" width="14.42578125" style="37" hidden="1" customWidth="1"/>
    <col min="20" max="20" width="8.7109375" style="37" hidden="1" customWidth="1"/>
    <col min="21" max="21" width="10.85546875" style="37" hidden="1" customWidth="1"/>
    <col min="22" max="22" width="9.28515625" style="37" hidden="1" customWidth="1"/>
    <col min="23" max="23" width="10.42578125" style="37" hidden="1" customWidth="1"/>
    <col min="24" max="24" width="13" style="37" hidden="1" customWidth="1"/>
    <col min="25" max="25" width="11.140625" style="37" hidden="1" customWidth="1"/>
    <col min="26" max="26" width="13.140625" style="37" hidden="1" customWidth="1"/>
    <col min="27" max="27" width="10.42578125" style="37" hidden="1" customWidth="1"/>
    <col min="28" max="28" width="9" style="129" bestFit="1" customWidth="1"/>
    <col min="29" max="29" width="8.42578125" style="129" bestFit="1" customWidth="1"/>
    <col min="30" max="30" width="10.42578125" style="37" hidden="1" customWidth="1"/>
    <col min="31" max="31" width="9" style="37" customWidth="1"/>
    <col min="32" max="32" width="3.85546875" style="89" customWidth="1"/>
    <col min="33" max="33" width="42.7109375" style="89" bestFit="1" customWidth="1"/>
    <col min="34" max="34" width="12.5703125" style="89" bestFit="1" customWidth="1"/>
    <col min="35" max="35" width="3.85546875" style="89" customWidth="1"/>
    <col min="36" max="16384" width="10.85546875" style="39"/>
  </cols>
  <sheetData>
    <row r="1" spans="1:35">
      <c r="A1" s="42" t="s">
        <v>14</v>
      </c>
      <c r="B1" s="43" t="s">
        <v>41</v>
      </c>
      <c r="C1" s="43" t="s">
        <v>42</v>
      </c>
      <c r="D1" s="44" t="s">
        <v>10</v>
      </c>
      <c r="E1" s="44" t="s">
        <v>43</v>
      </c>
      <c r="F1" s="44" t="s">
        <v>44</v>
      </c>
      <c r="G1" s="41" t="s">
        <v>45</v>
      </c>
      <c r="H1" s="41" t="s">
        <v>46</v>
      </c>
      <c r="I1" s="41" t="s">
        <v>47</v>
      </c>
      <c r="J1" s="41" t="s">
        <v>48</v>
      </c>
      <c r="K1" s="41" t="s">
        <v>49</v>
      </c>
      <c r="L1" s="41" t="s">
        <v>50</v>
      </c>
      <c r="M1" s="41" t="s">
        <v>51</v>
      </c>
      <c r="N1" s="41" t="s">
        <v>52</v>
      </c>
      <c r="O1" s="173" t="s">
        <v>53</v>
      </c>
      <c r="P1" s="41" t="s">
        <v>54</v>
      </c>
      <c r="Q1" s="173" t="s">
        <v>55</v>
      </c>
      <c r="R1" s="173" t="s">
        <v>56</v>
      </c>
      <c r="S1" s="41" t="s">
        <v>57</v>
      </c>
      <c r="T1" s="41" t="s">
        <v>58</v>
      </c>
      <c r="U1" s="41" t="s">
        <v>59</v>
      </c>
      <c r="V1" s="41" t="s">
        <v>60</v>
      </c>
      <c r="W1" s="41" t="s">
        <v>61</v>
      </c>
      <c r="X1" s="41" t="s">
        <v>62</v>
      </c>
      <c r="Y1" s="41" t="s">
        <v>63</v>
      </c>
      <c r="Z1" s="41" t="s">
        <v>64</v>
      </c>
      <c r="AA1" s="41" t="s">
        <v>65</v>
      </c>
      <c r="AB1" s="125" t="s">
        <v>66</v>
      </c>
      <c r="AC1" s="125" t="s">
        <v>67</v>
      </c>
      <c r="AD1" s="41" t="s">
        <v>68</v>
      </c>
      <c r="AE1" s="43" t="s">
        <v>25</v>
      </c>
      <c r="AF1" s="87"/>
      <c r="AG1" s="87"/>
      <c r="AH1" s="87"/>
      <c r="AI1" s="87"/>
    </row>
    <row r="2" spans="1:35">
      <c r="A2" s="42" t="s">
        <v>69</v>
      </c>
      <c r="B2" s="187">
        <v>5.3407999999999998</v>
      </c>
      <c r="C2" s="187">
        <v>-21.239799999999999</v>
      </c>
      <c r="D2" s="172">
        <v>4.7</v>
      </c>
      <c r="E2" s="172">
        <v>-0.05</v>
      </c>
      <c r="F2" s="172">
        <v>-0.11</v>
      </c>
      <c r="G2" s="188">
        <f>IF($AH$3&gt;0.5,($AH$2+2415019)+((((HOUR($AH$3)*60)+MINUTE($AH$3))/1440+DAY($AH$2))-0.5)-DAY($AH$2),($AH$2+2415019)+((((HOUR($AH$3)*60)+MINUTE($AH$3))/1440+DAY($AH$2))-1.5)-DAY($AH$2)+1)</f>
        <v>2461051.9375</v>
      </c>
      <c r="H2" s="188">
        <f>IF((G2-ROUNDDOWN(G2,0))&lt;0.5,ROUNDDOWN(G2,0)-0.5,ROUNDDOWN(G2,0)+0.5)</f>
        <v>2461051.5</v>
      </c>
      <c r="I2" s="188">
        <f>$AH$3*24</f>
        <v>10.5</v>
      </c>
      <c r="J2" s="188">
        <f>G2-2451545</f>
        <v>9506.9375</v>
      </c>
      <c r="K2" s="188">
        <f>G2-2451545</f>
        <v>9506.9375</v>
      </c>
      <c r="L2" s="188">
        <f>AVERAGE(H2-2451545)/36525</f>
        <v>0.26027378507871324</v>
      </c>
      <c r="M2" s="188">
        <f>6.697374558+(0.065707485828*K2)+(1.0027379093*I2)+(0.0854103*L2)+(0.000025862*L2*L2)</f>
        <v>641.92531546860243</v>
      </c>
      <c r="N2" s="188">
        <f>M2-24*(ROUNDDOWN(M2/24,0))</f>
        <v>17.925315468602435</v>
      </c>
      <c r="O2" s="188">
        <f>125.04-0.052954*J2</f>
        <v>-378.39036837499998</v>
      </c>
      <c r="P2" s="188">
        <f>280.47+0.98565*J2</f>
        <v>9650.9829468749995</v>
      </c>
      <c r="Q2" s="188">
        <f>23.4393-0.0000004*J2</f>
        <v>23.435497224999999</v>
      </c>
      <c r="R2" s="188">
        <f>-0.000319*SIN(RADIANS(O2))-0.000024*SIN((RADIANS(2*P2)))</f>
        <v>1.1668967270040724E-4</v>
      </c>
      <c r="S2" s="188">
        <f>N2+R2*COS(RADIANS(Q2))</f>
        <v>17.925422532357235</v>
      </c>
      <c r="T2" s="188">
        <f>S2-'Data Entry-V'!$F$9/15</f>
        <v>29.556533643468349</v>
      </c>
      <c r="U2" s="188">
        <f>IF(T2&lt;0,T2+24,IF(T2&gt;24,T2-24,T2))</f>
        <v>5.5565336434683488</v>
      </c>
      <c r="V2" s="188">
        <f>U2-B2</f>
        <v>0.215733643468349</v>
      </c>
      <c r="W2" s="188">
        <f>V2*15</f>
        <v>3.236004652025235</v>
      </c>
      <c r="X2" s="188">
        <f>IF(W2&lt;0,W2+360,W2)</f>
        <v>3.236004652025235</v>
      </c>
      <c r="Y2" s="188">
        <f>-SIN(RADIANS(X2))</f>
        <v>-5.6448913830817266E-2</v>
      </c>
      <c r="Z2" s="188">
        <f>TAN(RADIANS(C2))*COS(RADIANS('Data Entry-V'!$F$8))-SIN(RADIANS('Data Entry-V'!$F$8))*COS(RADIANS(X2))</f>
        <v>0.28744565075697015</v>
      </c>
      <c r="AA2" s="188">
        <f>DEGREES(ATAN2(Z2,Y2))</f>
        <v>-11.110425628214996</v>
      </c>
      <c r="AB2" s="126">
        <f>IF(AA2&lt;0,AA2+360,AA2)</f>
        <v>348.88957437178499</v>
      </c>
      <c r="AC2" s="126">
        <f>DEGREES(ASIN((SIN(RADIANS('Data Entry-V'!$F$8))*SIN(RADIANS(C2)))+(COS(RADIANS('Data Entry-V'!$F$8))*COS(RADIANS(C2))*COS(RADIANS((U2-B2)*15)))))</f>
        <v>74.154902452330205</v>
      </c>
      <c r="AD2" s="188">
        <f>1/(COS((4*ATAN(1))/2-(AC2*(4*ATAN(1))/180)))</f>
        <v>1.0394973834088588</v>
      </c>
      <c r="AE2" s="188">
        <f>IF(AC2&gt;10,AD2-((AD2-1)*(0.0018161+(AD2-1)*(0.002875+(AD2-1)*0.0008083))),"")</f>
        <v>1.0394211172808447</v>
      </c>
      <c r="AF2" s="87"/>
      <c r="AG2" s="90" t="s">
        <v>70</v>
      </c>
      <c r="AH2" s="93">
        <v>46033</v>
      </c>
      <c r="AI2" s="87"/>
    </row>
    <row r="3" spans="1:35">
      <c r="A3" s="42" t="s">
        <v>71</v>
      </c>
      <c r="B3" s="187">
        <v>5.0237999999999996</v>
      </c>
      <c r="C3" s="187">
        <v>-20.0519</v>
      </c>
      <c r="D3" s="172">
        <v>4.91</v>
      </c>
      <c r="E3" s="172">
        <v>-0.05</v>
      </c>
      <c r="F3" s="172">
        <v>-0.15</v>
      </c>
      <c r="G3" s="188">
        <f>IF($AH$3&gt;0.5,($AH$2+2415019)+((((HOUR($AH$3)*60)+MINUTE($AH$3))/1440+DAY($AH$2))-0.5)-DAY($AH$2),($AH$2+2415019)+((((HOUR($AH$3)*60)+MINUTE($AH$3))/1440+DAY($AH$2))-1.5)-DAY($AH$2)+1)</f>
        <v>2461051.9375</v>
      </c>
      <c r="H3" s="188">
        <f>IF((G3-ROUNDDOWN(G3,0))&lt;0.5,ROUNDDOWN(G3,0)-0.5,ROUNDDOWN(G3,0)+0.5)</f>
        <v>2461051.5</v>
      </c>
      <c r="I3" s="188">
        <f>$AH$3*24</f>
        <v>10.5</v>
      </c>
      <c r="J3" s="188">
        <f>G3-2451545</f>
        <v>9506.9375</v>
      </c>
      <c r="K3" s="188">
        <f>G3-2451545</f>
        <v>9506.9375</v>
      </c>
      <c r="L3" s="188">
        <f>AVERAGE(H3-2451545)/36525</f>
        <v>0.26027378507871324</v>
      </c>
      <c r="M3" s="188">
        <f>6.697374558+(0.065707485828*K3)+(1.0027379093*I3)+(0.0854103*L3)+(0.000025862*L3*L3)</f>
        <v>641.92531546860243</v>
      </c>
      <c r="N3" s="188">
        <f>M3-24*(ROUNDDOWN(M3/24,0))</f>
        <v>17.925315468602435</v>
      </c>
      <c r="O3" s="188">
        <f>125.04-0.052954*J3</f>
        <v>-378.39036837499998</v>
      </c>
      <c r="P3" s="188">
        <f>280.47+0.98565*J3</f>
        <v>9650.9829468749995</v>
      </c>
      <c r="Q3" s="188">
        <f>23.4393-0.0000004*J3</f>
        <v>23.435497224999999</v>
      </c>
      <c r="R3" s="188">
        <f>-0.000319*SIN(RADIANS(O3))-0.000024*SIN((RADIANS(2*P3)))</f>
        <v>1.1668967270040724E-4</v>
      </c>
      <c r="S3" s="188">
        <f>N3+R3*COS(RADIANS(Q3))</f>
        <v>17.925422532357235</v>
      </c>
      <c r="T3" s="188">
        <f>S3-'Data Entry-V'!$F$9/15</f>
        <v>29.556533643468349</v>
      </c>
      <c r="U3" s="188">
        <f>IF(T3&lt;0,T3+24,IF(T3&gt;24,T3-24,T3))</f>
        <v>5.5565336434683488</v>
      </c>
      <c r="V3" s="188">
        <f>U3-B3</f>
        <v>0.53273364346834917</v>
      </c>
      <c r="W3" s="188">
        <f>V3*15</f>
        <v>7.9910046520252376</v>
      </c>
      <c r="X3" s="188">
        <f>IF(W3&lt;0,W3+360,W3)</f>
        <v>7.9910046520252376</v>
      </c>
      <c r="Y3" s="188">
        <f>-SIN(RADIANS(X3))</f>
        <v>-0.13901762870399825</v>
      </c>
      <c r="Z3" s="188">
        <f>TAN(RADIANS(C3))*COS(RADIANS('Data Entry-V'!$F$8))-SIN(RADIANS('Data Entry-V'!$F$8))*COS(RADIANS(X3))</f>
        <v>0.30153143035514601</v>
      </c>
      <c r="AA3" s="188">
        <f>DEGREES(ATAN2(Z3,Y3))</f>
        <v>-24.751525608966226</v>
      </c>
      <c r="AB3" s="126">
        <f>IF(AA3&lt;0,AA3+360,AA3)</f>
        <v>335.24847439103377</v>
      </c>
      <c r="AC3" s="126">
        <f>DEGREES(ASIN((SIN(RADIANS('Data Entry-V'!$F$8))*SIN(RADIANS(C3)))+(COS(RADIANS('Data Entry-V'!$F$8))*COS(RADIANS(C3))*COS(RADIANS((U3-B3)*15)))))</f>
        <v>71.825767989501912</v>
      </c>
      <c r="AD3" s="188">
        <f>1/(COS((4*ATAN(1))/2-(AC3*(4*ATAN(1))/180)))</f>
        <v>1.0525070243957448</v>
      </c>
      <c r="AE3" s="188">
        <f>IF(AC3&gt;10,AD3-((AD3-1)*(0.0018161+(AD3-1)*(0.002875+(AD3-1)*0.0008083))),"")</f>
        <v>1.0524036230388678</v>
      </c>
      <c r="AF3" s="87"/>
      <c r="AG3" s="90" t="s">
        <v>72</v>
      </c>
      <c r="AH3" s="94">
        <v>0.4375</v>
      </c>
      <c r="AI3" s="87"/>
    </row>
    <row r="4" spans="1:35">
      <c r="A4" s="42" t="s">
        <v>73</v>
      </c>
      <c r="B4" s="187">
        <v>6.5842999999999998</v>
      </c>
      <c r="C4" s="187">
        <v>-22.9648</v>
      </c>
      <c r="D4" s="172">
        <v>4.54</v>
      </c>
      <c r="E4" s="172">
        <v>-0.04</v>
      </c>
      <c r="F4" s="172">
        <v>-0.02</v>
      </c>
      <c r="G4" s="188">
        <f>IF($AH$3&gt;0.5,($AH$2+2415019)+((((HOUR($AH$3)*60)+MINUTE($AH$3))/1440+DAY($AH$2))-0.5)-DAY($AH$2),($AH$2+2415019)+((((HOUR($AH$3)*60)+MINUTE($AH$3))/1440+DAY($AH$2))-1.5)-DAY($AH$2)+1)</f>
        <v>2461051.9375</v>
      </c>
      <c r="H4" s="188">
        <f>IF((G4-ROUNDDOWN(G4,0))&lt;0.5,ROUNDDOWN(G4,0)-0.5,ROUNDDOWN(G4,0)+0.5)</f>
        <v>2461051.5</v>
      </c>
      <c r="I4" s="188">
        <f>$AH$3*24</f>
        <v>10.5</v>
      </c>
      <c r="J4" s="188">
        <f>G4-2451545</f>
        <v>9506.9375</v>
      </c>
      <c r="K4" s="188">
        <f>G4-2451545</f>
        <v>9506.9375</v>
      </c>
      <c r="L4" s="188">
        <f>AVERAGE(H4-2451545)/36525</f>
        <v>0.26027378507871324</v>
      </c>
      <c r="M4" s="188">
        <f>6.697374558+(0.065707485828*K4)+(1.0027379093*I4)+(0.0854103*L4)+(0.000025862*L4*L4)</f>
        <v>641.92531546860243</v>
      </c>
      <c r="N4" s="188">
        <f>M4-24*(ROUNDDOWN(M4/24,0))</f>
        <v>17.925315468602435</v>
      </c>
      <c r="O4" s="188">
        <f>125.04-0.052954*J4</f>
        <v>-378.39036837499998</v>
      </c>
      <c r="P4" s="188">
        <f>280.47+0.98565*J4</f>
        <v>9650.9829468749995</v>
      </c>
      <c r="Q4" s="188">
        <f>23.4393-0.0000004*J4</f>
        <v>23.435497224999999</v>
      </c>
      <c r="R4" s="188">
        <f>-0.000319*SIN(RADIANS(O4))-0.000024*SIN((RADIANS(2*P4)))</f>
        <v>1.1668967270040724E-4</v>
      </c>
      <c r="S4" s="188">
        <f>N4+R4*COS(RADIANS(Q4))</f>
        <v>17.925422532357235</v>
      </c>
      <c r="T4" s="188">
        <f>S4-'Data Entry-V'!$F$9/15</f>
        <v>29.556533643468349</v>
      </c>
      <c r="U4" s="188">
        <f>IF(T4&lt;0,T4+24,IF(T4&gt;24,T4-24,T4))</f>
        <v>5.5565336434683488</v>
      </c>
      <c r="V4" s="188">
        <f>U4-B4</f>
        <v>-1.027766356531651</v>
      </c>
      <c r="W4" s="188">
        <f>V4*15</f>
        <v>-15.416495347974767</v>
      </c>
      <c r="X4" s="188">
        <f>IF(W4&lt;0,W4+360,W4)</f>
        <v>344.58350465202523</v>
      </c>
      <c r="Y4" s="188">
        <f>-SIN(RADIANS(X4))</f>
        <v>0.26583366774494077</v>
      </c>
      <c r="Z4" s="188">
        <f>TAN(RADIANS(C4))*COS(RADIANS('Data Entry-V'!$F$8))-SIN(RADIANS('Data Entry-V'!$F$8))*COS(RADIANS(X4))</f>
        <v>0.23875691510993763</v>
      </c>
      <c r="AA4" s="188">
        <f>DEGREES(ATAN2(Z4,Y4))</f>
        <v>48.071593499298878</v>
      </c>
      <c r="AB4" s="126">
        <f>IF(AA4&lt;0,AA4+360,AA4)</f>
        <v>48.071593499298878</v>
      </c>
      <c r="AC4" s="126">
        <f>DEGREES(ASIN((SIN(RADIANS('Data Entry-V'!$F$8))*SIN(RADIANS(C4)))+(COS(RADIANS('Data Entry-V'!$F$8))*COS(RADIANS(C4))*COS(RADIANS((U4-B4)*15)))))</f>
        <v>70.792283340678807</v>
      </c>
      <c r="AD4" s="188">
        <f>1/(COS((4*ATAN(1))/2-(AC4*(4*ATAN(1))/180)))</f>
        <v>1.0589495287181574</v>
      </c>
      <c r="AE4" s="188">
        <f>IF(AC4&gt;10,AD4-((AD4-1)*(0.0018161+(AD4-1)*(0.002875+(AD4-1)*0.0008083))),"")</f>
        <v>1.0588323141369329</v>
      </c>
      <c r="AF4" s="87"/>
      <c r="AG4" s="87"/>
      <c r="AH4" s="87"/>
      <c r="AI4" s="87"/>
    </row>
    <row r="5" spans="1:35">
      <c r="A5" s="42" t="s">
        <v>74</v>
      </c>
      <c r="B5" s="187">
        <v>6.1025999999999998</v>
      </c>
      <c r="C5" s="187">
        <v>-14.9353</v>
      </c>
      <c r="D5" s="172">
        <v>4.67</v>
      </c>
      <c r="E5" s="172">
        <v>0.05</v>
      </c>
      <c r="F5" s="172">
        <v>0</v>
      </c>
      <c r="G5" s="188">
        <f>IF($AH$3&gt;0.5,($AH$2+2415019)+((((HOUR($AH$3)*60)+MINUTE($AH$3))/1440+DAY($AH$2))-0.5)-DAY($AH$2),($AH$2+2415019)+((((HOUR($AH$3)*60)+MINUTE($AH$3))/1440+DAY($AH$2))-1.5)-DAY($AH$2)+1)</f>
        <v>2461051.9375</v>
      </c>
      <c r="H5" s="188">
        <f>IF((G5-ROUNDDOWN(G5,0))&lt;0.5,ROUNDDOWN(G5,0)-0.5,ROUNDDOWN(G5,0)+0.5)</f>
        <v>2461051.5</v>
      </c>
      <c r="I5" s="188">
        <f>$AH$3*24</f>
        <v>10.5</v>
      </c>
      <c r="J5" s="188">
        <f>G5-2451545</f>
        <v>9506.9375</v>
      </c>
      <c r="K5" s="188">
        <f>G5-2451545</f>
        <v>9506.9375</v>
      </c>
      <c r="L5" s="188">
        <f>AVERAGE(H5-2451545)/36525</f>
        <v>0.26027378507871324</v>
      </c>
      <c r="M5" s="188">
        <f>6.697374558+(0.065707485828*K5)+(1.0027379093*I5)+(0.0854103*L5)+(0.000025862*L5*L5)</f>
        <v>641.92531546860243</v>
      </c>
      <c r="N5" s="188">
        <f>M5-24*(ROUNDDOWN(M5/24,0))</f>
        <v>17.925315468602435</v>
      </c>
      <c r="O5" s="188">
        <f>125.04-0.052954*J5</f>
        <v>-378.39036837499998</v>
      </c>
      <c r="P5" s="188">
        <f>280.47+0.98565*J5</f>
        <v>9650.9829468749995</v>
      </c>
      <c r="Q5" s="188">
        <f>23.4393-0.0000004*J5</f>
        <v>23.435497224999999</v>
      </c>
      <c r="R5" s="188">
        <f>-0.000319*SIN(RADIANS(O5))-0.000024*SIN((RADIANS(2*P5)))</f>
        <v>1.1668967270040724E-4</v>
      </c>
      <c r="S5" s="188">
        <f>N5+R5*COS(RADIANS(Q5))</f>
        <v>17.925422532357235</v>
      </c>
      <c r="T5" s="188">
        <f>S5-'Data Entry-V'!$F$9/15</f>
        <v>29.556533643468349</v>
      </c>
      <c r="U5" s="188">
        <f>IF(T5&lt;0,T5+24,IF(T5&gt;24,T5-24,T5))</f>
        <v>5.5565336434683488</v>
      </c>
      <c r="V5" s="188">
        <f>U5-B5</f>
        <v>-0.54606635653165103</v>
      </c>
      <c r="W5" s="188">
        <f>V5*15</f>
        <v>-8.1909953479747664</v>
      </c>
      <c r="X5" s="188">
        <f>IF(W5&lt;0,W5+360,W5)</f>
        <v>351.80900465202524</v>
      </c>
      <c r="Y5" s="188">
        <f>-SIN(RADIANS(X5))</f>
        <v>0.14247337789487563</v>
      </c>
      <c r="Z5" s="188">
        <f>TAN(RADIANS(C5))*COS(RADIANS('Data Entry-V'!$F$8))-SIN(RADIANS('Data Entry-V'!$F$8))*COS(RADIANS(X5))</f>
        <v>0.37988023854553965</v>
      </c>
      <c r="AA5" s="188">
        <f>DEGREES(ATAN2(Z5,Y5))</f>
        <v>20.558463478729845</v>
      </c>
      <c r="AB5" s="126">
        <f>IF(AA5&lt;0,AA5+360,AA5)</f>
        <v>20.558463478729845</v>
      </c>
      <c r="AC5" s="126">
        <f>DEGREES(ASIN((SIN(RADIANS('Data Entry-V'!$F$8))*SIN(RADIANS(C5)))+(COS(RADIANS('Data Entry-V'!$F$8))*COS(RADIANS(C5))*COS(RADIANS((U5-B5)*15)))))</f>
        <v>66.920219319000438</v>
      </c>
      <c r="AD5" s="188">
        <f>1/(COS((4*ATAN(1))/2-(AC5*(4*ATAN(1))/180)))</f>
        <v>1.0870039088039904</v>
      </c>
      <c r="AE5" s="188">
        <f>IF(AC5&gt;10,AD5-((AD5-1)*(0.0018161+(AD5-1)*(0.002875+(AD5-1)*0.0008083))),"")</f>
        <v>1.0868236058350678</v>
      </c>
      <c r="AF5" s="87"/>
      <c r="AG5" s="87"/>
      <c r="AH5" s="87"/>
      <c r="AI5" s="87"/>
    </row>
    <row r="6" spans="1:35">
      <c r="A6" s="42" t="s">
        <v>75</v>
      </c>
      <c r="B6" s="187">
        <v>5.8688000000000002</v>
      </c>
      <c r="C6" s="187">
        <v>-9.0366999999999997</v>
      </c>
      <c r="D6" s="172">
        <v>5.95</v>
      </c>
      <c r="E6" s="172">
        <v>0.1</v>
      </c>
      <c r="F6" s="172">
        <v>0.08</v>
      </c>
      <c r="G6" s="188">
        <f>IF($AH$3&gt;0.5,($AH$2+2415019)+((((HOUR($AH$3)*60)+MINUTE($AH$3))/1440+DAY($AH$2))-0.5)-DAY($AH$2),($AH$2+2415019)+((((HOUR($AH$3)*60)+MINUTE($AH$3))/1440+DAY($AH$2))-1.5)-DAY($AH$2)+1)</f>
        <v>2461051.9375</v>
      </c>
      <c r="H6" s="188">
        <f>IF((G6-ROUNDDOWN(G6,0))&lt;0.5,ROUNDDOWN(G6,0)-0.5,ROUNDDOWN(G6,0)+0.5)</f>
        <v>2461051.5</v>
      </c>
      <c r="I6" s="188">
        <f>$AH$3*24</f>
        <v>10.5</v>
      </c>
      <c r="J6" s="188">
        <f>G6-2451545</f>
        <v>9506.9375</v>
      </c>
      <c r="K6" s="188">
        <f>G6-2451545</f>
        <v>9506.9375</v>
      </c>
      <c r="L6" s="188">
        <f>AVERAGE(H6-2451545)/36525</f>
        <v>0.26027378507871324</v>
      </c>
      <c r="M6" s="188">
        <f>6.697374558+(0.065707485828*K6)+(1.0027379093*I6)+(0.0854103*L6)+(0.000025862*L6*L6)</f>
        <v>641.92531546860243</v>
      </c>
      <c r="N6" s="188">
        <f>M6-24*(ROUNDDOWN(M6/24,0))</f>
        <v>17.925315468602435</v>
      </c>
      <c r="O6" s="188">
        <f>125.04-0.052954*J6</f>
        <v>-378.39036837499998</v>
      </c>
      <c r="P6" s="188">
        <f>280.47+0.98565*J6</f>
        <v>9650.9829468749995</v>
      </c>
      <c r="Q6" s="188">
        <f>23.4393-0.0000004*J6</f>
        <v>23.435497224999999</v>
      </c>
      <c r="R6" s="188">
        <f>-0.000319*SIN(RADIANS(O6))-0.000024*SIN((RADIANS(2*P6)))</f>
        <v>1.1668967270040724E-4</v>
      </c>
      <c r="S6" s="188">
        <f>N6+R6*COS(RADIANS(Q6))</f>
        <v>17.925422532357235</v>
      </c>
      <c r="T6" s="188">
        <f>S6-'Data Entry-V'!$F$9/15</f>
        <v>29.556533643468349</v>
      </c>
      <c r="U6" s="188">
        <f>IF(T6&lt;0,T6+24,IF(T6&gt;24,T6-24,T6))</f>
        <v>5.5565336434683488</v>
      </c>
      <c r="V6" s="188">
        <f>U6-B6</f>
        <v>-0.31226635653165147</v>
      </c>
      <c r="W6" s="188">
        <f>V6*15</f>
        <v>-4.683995347974772</v>
      </c>
      <c r="X6" s="188">
        <f>IF(W6&lt;0,W6+360,W6)</f>
        <v>355.31600465202524</v>
      </c>
      <c r="Y6" s="188">
        <f>-SIN(RADIANS(X6))</f>
        <v>8.1660110855224788E-2</v>
      </c>
      <c r="Z6" s="188">
        <f>TAN(RADIANS(C6))*COS(RADIANS('Data Entry-V'!$F$8))-SIN(RADIANS('Data Entry-V'!$F$8))*COS(RADIANS(X6))</f>
        <v>0.47019343098240701</v>
      </c>
      <c r="AA6" s="188">
        <f>DEGREES(ATAN2(Z6,Y6))</f>
        <v>9.8524811953384539</v>
      </c>
      <c r="AB6" s="126">
        <f>IF(AA6&lt;0,AA6+360,AA6)</f>
        <v>9.8524811953384539</v>
      </c>
      <c r="AC6" s="126">
        <f>DEGREES(ASIN((SIN(RADIANS('Data Entry-V'!$F$8))*SIN(RADIANS(C6)))+(COS(RADIANS('Data Entry-V'!$F$8))*COS(RADIANS(C6))*COS(RADIANS((U6-B6)*15)))))</f>
        <v>61.880737831723756</v>
      </c>
      <c r="AD6" s="188">
        <f>1/(COS((4*ATAN(1))/2-(AC6*(4*ATAN(1))/180)))</f>
        <v>1.1338273836781341</v>
      </c>
      <c r="AE6" s="188">
        <f>IF(AC6&gt;10,AD6-((AD6-1)*(0.0018161+(AD6-1)*(0.002875+(AD6-1)*0.0008083))),"")</f>
        <v>1.1335309118342809</v>
      </c>
      <c r="AF6" s="87"/>
      <c r="AG6" s="87"/>
      <c r="AH6" s="87"/>
      <c r="AI6" s="87"/>
    </row>
    <row r="7" spans="1:35">
      <c r="A7" s="42" t="s">
        <v>76</v>
      </c>
      <c r="B7" s="187">
        <v>5.6481000000000003</v>
      </c>
      <c r="C7" s="187">
        <v>-7.2127999999999997</v>
      </c>
      <c r="D7" s="172">
        <v>4.8099999999999996</v>
      </c>
      <c r="E7" s="172">
        <v>0.14000000000000001</v>
      </c>
      <c r="F7" s="172">
        <v>0.09</v>
      </c>
      <c r="G7" s="188">
        <f>IF($AH$3&gt;0.5,($AH$2+2415019)+((((HOUR($AH$3)*60)+MINUTE($AH$3))/1440+DAY($AH$2))-0.5)-DAY($AH$2),($AH$2+2415019)+((((HOUR($AH$3)*60)+MINUTE($AH$3))/1440+DAY($AH$2))-1.5)-DAY($AH$2)+1)</f>
        <v>2461051.9375</v>
      </c>
      <c r="H7" s="188">
        <f>IF((G7-ROUNDDOWN(G7,0))&lt;0.5,ROUNDDOWN(G7,0)-0.5,ROUNDDOWN(G7,0)+0.5)</f>
        <v>2461051.5</v>
      </c>
      <c r="I7" s="188">
        <f>$AH$3*24</f>
        <v>10.5</v>
      </c>
      <c r="J7" s="188">
        <f>G7-2451545</f>
        <v>9506.9375</v>
      </c>
      <c r="K7" s="188">
        <f>G7-2451545</f>
        <v>9506.9375</v>
      </c>
      <c r="L7" s="188">
        <f>AVERAGE(H7-2451545)/36525</f>
        <v>0.26027378507871324</v>
      </c>
      <c r="M7" s="188">
        <f>6.697374558+(0.065707485828*K7)+(1.0027379093*I7)+(0.0854103*L7)+(0.000025862*L7*L7)</f>
        <v>641.92531546860243</v>
      </c>
      <c r="N7" s="188">
        <f>M7-24*(ROUNDDOWN(M7/24,0))</f>
        <v>17.925315468602435</v>
      </c>
      <c r="O7" s="188">
        <f>125.04-0.052954*J7</f>
        <v>-378.39036837499998</v>
      </c>
      <c r="P7" s="188">
        <f>280.47+0.98565*J7</f>
        <v>9650.9829468749995</v>
      </c>
      <c r="Q7" s="188">
        <f>23.4393-0.0000004*J7</f>
        <v>23.435497224999999</v>
      </c>
      <c r="R7" s="188">
        <f>-0.000319*SIN(RADIANS(O7))-0.000024*SIN((RADIANS(2*P7)))</f>
        <v>1.1668967270040724E-4</v>
      </c>
      <c r="S7" s="188">
        <f>N7+R7*COS(RADIANS(Q7))</f>
        <v>17.925422532357235</v>
      </c>
      <c r="T7" s="188">
        <f>S7-'Data Entry-V'!$F$9/15</f>
        <v>29.556533643468349</v>
      </c>
      <c r="U7" s="188">
        <f>IF(T7&lt;0,T7+24,IF(T7&gt;24,T7-24,T7))</f>
        <v>5.5565336434683488</v>
      </c>
      <c r="V7" s="188">
        <f>U7-B7</f>
        <v>-9.1566356531651572E-2</v>
      </c>
      <c r="W7" s="188">
        <f>V7*15</f>
        <v>-1.3734953479747736</v>
      </c>
      <c r="X7" s="188">
        <f>IF(W7&lt;0,W7+360,W7)</f>
        <v>358.62650465202523</v>
      </c>
      <c r="Y7" s="188">
        <f>-SIN(RADIANS(X7))</f>
        <v>2.3969720198927534E-2</v>
      </c>
      <c r="Z7" s="188">
        <f>TAN(RADIANS(C7))*COS(RADIANS('Data Entry-V'!$F$8))-SIN(RADIANS('Data Entry-V'!$F$8))*COS(RADIANS(X7))</f>
        <v>0.4980235817305857</v>
      </c>
      <c r="AA7" s="188">
        <f>DEGREES(ATAN2(Z7,Y7))</f>
        <v>2.75550169646479</v>
      </c>
      <c r="AB7" s="126">
        <f>IF(AA7&lt;0,AA7+360,AA7)</f>
        <v>2.75550169646479</v>
      </c>
      <c r="AC7" s="126">
        <f>DEGREES(ASIN((SIN(RADIANS('Data Entry-V'!$F$8))*SIN(RADIANS(C7)))+(COS(RADIANS('Data Entry-V'!$F$8))*COS(RADIANS(C7))*COS(RADIANS((U7-B7)*15)))))</f>
        <v>60.353030260338407</v>
      </c>
      <c r="AD7" s="188">
        <f>1/(COS((4*ATAN(1))/2-(AC7*(4*ATAN(1))/180)))</f>
        <v>1.1506291954463965</v>
      </c>
      <c r="AE7" s="188">
        <f>IF(AC7&gt;10,AD7-((AD7-1)*(0.0018161+(AD7-1)*(0.002875+(AD7-1)*0.0008083))),"")</f>
        <v>1.1502876439595389</v>
      </c>
      <c r="AF7" s="87"/>
      <c r="AG7" s="87"/>
      <c r="AH7" s="87"/>
      <c r="AI7" s="87"/>
    </row>
    <row r="8" spans="1:35">
      <c r="A8" s="42" t="s">
        <v>77</v>
      </c>
      <c r="B8" s="187">
        <v>6.1837</v>
      </c>
      <c r="C8" s="187">
        <v>-6.7542</v>
      </c>
      <c r="D8" s="172">
        <v>6.14</v>
      </c>
      <c r="E8" s="172">
        <v>0.01</v>
      </c>
      <c r="F8" s="172">
        <v>0.03</v>
      </c>
      <c r="G8" s="188">
        <f>IF($AH$3&gt;0.5,($AH$2+2415019)+((((HOUR($AH$3)*60)+MINUTE($AH$3))/1440+DAY($AH$2))-0.5)-DAY($AH$2),($AH$2+2415019)+((((HOUR($AH$3)*60)+MINUTE($AH$3))/1440+DAY($AH$2))-1.5)-DAY($AH$2)+1)</f>
        <v>2461051.9375</v>
      </c>
      <c r="H8" s="188">
        <f>IF((G8-ROUNDDOWN(G8,0))&lt;0.5,ROUNDDOWN(G8,0)-0.5,ROUNDDOWN(G8,0)+0.5)</f>
        <v>2461051.5</v>
      </c>
      <c r="I8" s="188">
        <f>$AH$3*24</f>
        <v>10.5</v>
      </c>
      <c r="J8" s="188">
        <f>G8-2451545</f>
        <v>9506.9375</v>
      </c>
      <c r="K8" s="188">
        <f>G8-2451545</f>
        <v>9506.9375</v>
      </c>
      <c r="L8" s="188">
        <f>AVERAGE(H8-2451545)/36525</f>
        <v>0.26027378507871324</v>
      </c>
      <c r="M8" s="188">
        <f>6.697374558+(0.065707485828*K8)+(1.0027379093*I8)+(0.0854103*L8)+(0.000025862*L8*L8)</f>
        <v>641.92531546860243</v>
      </c>
      <c r="N8" s="188">
        <f>M8-24*(ROUNDDOWN(M8/24,0))</f>
        <v>17.925315468602435</v>
      </c>
      <c r="O8" s="188">
        <f>125.04-0.052954*J8</f>
        <v>-378.39036837499998</v>
      </c>
      <c r="P8" s="188">
        <f>280.47+0.98565*J8</f>
        <v>9650.9829468749995</v>
      </c>
      <c r="Q8" s="188">
        <f>23.4393-0.0000004*J8</f>
        <v>23.435497224999999</v>
      </c>
      <c r="R8" s="188">
        <f>-0.000319*SIN(RADIANS(O8))-0.000024*SIN((RADIANS(2*P8)))</f>
        <v>1.1668967270040724E-4</v>
      </c>
      <c r="S8" s="188">
        <f>N8+R8*COS(RADIANS(Q8))</f>
        <v>17.925422532357235</v>
      </c>
      <c r="T8" s="188">
        <f>S8-'Data Entry-V'!$F$9/15</f>
        <v>29.556533643468349</v>
      </c>
      <c r="U8" s="188">
        <f>IF(T8&lt;0,T8+24,IF(T8&gt;24,T8-24,T8))</f>
        <v>5.5565336434683488</v>
      </c>
      <c r="V8" s="188">
        <f>U8-B8</f>
        <v>-0.6271663565316512</v>
      </c>
      <c r="W8" s="188">
        <f>V8*15</f>
        <v>-9.4074953479747681</v>
      </c>
      <c r="X8" s="188">
        <f>IF(W8&lt;0,W8+360,W8)</f>
        <v>350.59250465202524</v>
      </c>
      <c r="Y8" s="188">
        <f>-SIN(RADIANS(X8))</f>
        <v>0.16345502273477161</v>
      </c>
      <c r="Z8" s="188">
        <f>TAN(RADIANS(C8))*COS(RADIANS('Data Entry-V'!$F$8))-SIN(RADIANS('Data Entry-V'!$F$8))*COS(RADIANS(X8))</f>
        <v>0.49663565069984716</v>
      </c>
      <c r="AA8" s="188">
        <f>DEGREES(ATAN2(Z8,Y8))</f>
        <v>18.21764844046049</v>
      </c>
      <c r="AB8" s="126">
        <f>IF(AA8&lt;0,AA8+360,AA8)</f>
        <v>18.21764844046049</v>
      </c>
      <c r="AC8" s="126">
        <f>DEGREES(ASIN((SIN(RADIANS('Data Entry-V'!$F$8))*SIN(RADIANS(C8)))+(COS(RADIANS('Data Entry-V'!$F$8))*COS(RADIANS(C8))*COS(RADIANS((U8-B8)*15)))))</f>
        <v>58.720449634738877</v>
      </c>
      <c r="AD8" s="188">
        <f>1/(COS((4*ATAN(1))/2-(AC8*(4*ATAN(1))/180)))</f>
        <v>1.1700775610377725</v>
      </c>
      <c r="AE8" s="188">
        <f>IF(AC8&gt;10,AD8-((AD8-1)*(0.0018161+(AD8-1)*(0.002875+(AD8-1)*0.0008083))),"")</f>
        <v>1.1696815432301346</v>
      </c>
      <c r="AF8" s="87"/>
      <c r="AG8" s="87"/>
      <c r="AH8" s="87"/>
      <c r="AI8" s="87"/>
    </row>
    <row r="9" spans="1:35">
      <c r="A9" s="42" t="s">
        <v>78</v>
      </c>
      <c r="B9" s="187">
        <v>6.4458000000000002</v>
      </c>
      <c r="C9" s="187">
        <v>-7.5118999999999998</v>
      </c>
      <c r="D9" s="172">
        <v>6.26</v>
      </c>
      <c r="E9" s="172">
        <v>-0.03</v>
      </c>
      <c r="F9" s="172">
        <v>-0.1</v>
      </c>
      <c r="G9" s="188">
        <f>IF($AH$3&gt;0.5,($AH$2+2415019)+((((HOUR($AH$3)*60)+MINUTE($AH$3))/1440+DAY($AH$2))-0.5)-DAY($AH$2),($AH$2+2415019)+((((HOUR($AH$3)*60)+MINUTE($AH$3))/1440+DAY($AH$2))-1.5)-DAY($AH$2)+1)</f>
        <v>2461051.9375</v>
      </c>
      <c r="H9" s="188">
        <f>IF((G9-ROUNDDOWN(G9,0))&lt;0.5,ROUNDDOWN(G9,0)-0.5,ROUNDDOWN(G9,0)+0.5)</f>
        <v>2461051.5</v>
      </c>
      <c r="I9" s="188">
        <f>$AH$3*24</f>
        <v>10.5</v>
      </c>
      <c r="J9" s="188">
        <f>G9-2451545</f>
        <v>9506.9375</v>
      </c>
      <c r="K9" s="188">
        <f>G9-2451545</f>
        <v>9506.9375</v>
      </c>
      <c r="L9" s="188">
        <f>AVERAGE(H9-2451545)/36525</f>
        <v>0.26027378507871324</v>
      </c>
      <c r="M9" s="188">
        <f>6.697374558+(0.065707485828*K9)+(1.0027379093*I9)+(0.0854103*L9)+(0.000025862*L9*L9)</f>
        <v>641.92531546860243</v>
      </c>
      <c r="N9" s="188">
        <f>M9-24*(ROUNDDOWN(M9/24,0))</f>
        <v>17.925315468602435</v>
      </c>
      <c r="O9" s="188">
        <f>125.04-0.052954*J9</f>
        <v>-378.39036837499998</v>
      </c>
      <c r="P9" s="188">
        <f>280.47+0.98565*J9</f>
        <v>9650.9829468749995</v>
      </c>
      <c r="Q9" s="188">
        <f>23.4393-0.0000004*J9</f>
        <v>23.435497224999999</v>
      </c>
      <c r="R9" s="188">
        <f>-0.000319*SIN(RADIANS(O9))-0.000024*SIN((RADIANS(2*P9)))</f>
        <v>1.1668967270040724E-4</v>
      </c>
      <c r="S9" s="188">
        <f>N9+R9*COS(RADIANS(Q9))</f>
        <v>17.925422532357235</v>
      </c>
      <c r="T9" s="188">
        <f>S9-'Data Entry-V'!$F$9/15</f>
        <v>29.556533643468349</v>
      </c>
      <c r="U9" s="188">
        <f>IF(T9&lt;0,T9+24,IF(T9&gt;24,T9-24,T9))</f>
        <v>5.5565336434683488</v>
      </c>
      <c r="V9" s="188">
        <f>U9-B9</f>
        <v>-0.88926635653165143</v>
      </c>
      <c r="W9" s="188">
        <f>V9*15</f>
        <v>-13.338995347974771</v>
      </c>
      <c r="X9" s="188">
        <f>IF(W9&lt;0,W9+360,W9)</f>
        <v>346.66100465202521</v>
      </c>
      <c r="Y9" s="188">
        <f>-SIN(RADIANS(X9))</f>
        <v>0.23071202668663393</v>
      </c>
      <c r="Z9" s="188">
        <f>TAN(RADIANS(C9))*COS(RADIANS('Data Entry-V'!$F$8))-SIN(RADIANS('Data Entry-V'!$F$8))*COS(RADIANS(X9))</f>
        <v>0.47777485875225095</v>
      </c>
      <c r="AA9" s="188">
        <f>DEGREES(ATAN2(Z9,Y9))</f>
        <v>25.775366418660528</v>
      </c>
      <c r="AB9" s="126">
        <f>IF(AA9&lt;0,AA9+360,AA9)</f>
        <v>25.775366418660528</v>
      </c>
      <c r="AC9" s="126">
        <f>DEGREES(ASIN((SIN(RADIANS('Data Entry-V'!$F$8))*SIN(RADIANS(C9)))+(COS(RADIANS('Data Entry-V'!$F$8))*COS(RADIANS(C9))*COS(RADIANS((U9-B9)*15)))))</f>
        <v>58.26378364705441</v>
      </c>
      <c r="AD9" s="188">
        <f>1/(COS((4*ATAN(1))/2-(AC9*(4*ATAN(1))/180)))</f>
        <v>1.1758082738547257</v>
      </c>
      <c r="AE9" s="188">
        <f>IF(AC9&gt;10,AD9-((AD9-1)*(0.0018161+(AD9-1)*(0.002875+(AD9-1)*0.0008083))),"")</f>
        <v>1.1753957340847927</v>
      </c>
      <c r="AF9" s="87"/>
      <c r="AG9" s="87"/>
      <c r="AH9" s="87"/>
      <c r="AI9" s="87"/>
    </row>
    <row r="10" spans="1:35">
      <c r="A10" s="42" t="s">
        <v>79</v>
      </c>
      <c r="B10" s="187">
        <v>5.9264999999999999</v>
      </c>
      <c r="C10" s="187">
        <v>-4.7885999999999997</v>
      </c>
      <c r="D10" s="172">
        <v>6.2</v>
      </c>
      <c r="E10" s="172">
        <v>0.05</v>
      </c>
      <c r="F10" s="172">
        <v>0.06</v>
      </c>
      <c r="G10" s="188">
        <f>IF($AH$3&gt;0.5,($AH$2+2415019)+((((HOUR($AH$3)*60)+MINUTE($AH$3))/1440+DAY($AH$2))-0.5)-DAY($AH$2),($AH$2+2415019)+((((HOUR($AH$3)*60)+MINUTE($AH$3))/1440+DAY($AH$2))-1.5)-DAY($AH$2)+1)</f>
        <v>2461051.9375</v>
      </c>
      <c r="H10" s="188">
        <f>IF((G10-ROUNDDOWN(G10,0))&lt;0.5,ROUNDDOWN(G10,0)-0.5,ROUNDDOWN(G10,0)+0.5)</f>
        <v>2461051.5</v>
      </c>
      <c r="I10" s="188">
        <f>$AH$3*24</f>
        <v>10.5</v>
      </c>
      <c r="J10" s="188">
        <f>G10-2451545</f>
        <v>9506.9375</v>
      </c>
      <c r="K10" s="188">
        <f>G10-2451545</f>
        <v>9506.9375</v>
      </c>
      <c r="L10" s="188">
        <f>AVERAGE(H10-2451545)/36525</f>
        <v>0.26027378507871324</v>
      </c>
      <c r="M10" s="188">
        <f>6.697374558+(0.065707485828*K10)+(1.0027379093*I10)+(0.0854103*L10)+(0.000025862*L10*L10)</f>
        <v>641.92531546860243</v>
      </c>
      <c r="N10" s="188">
        <f>M10-24*(ROUNDDOWN(M10/24,0))</f>
        <v>17.925315468602435</v>
      </c>
      <c r="O10" s="188">
        <f>125.04-0.052954*J10</f>
        <v>-378.39036837499998</v>
      </c>
      <c r="P10" s="188">
        <f>280.47+0.98565*J10</f>
        <v>9650.9829468749995</v>
      </c>
      <c r="Q10" s="188">
        <f>23.4393-0.0000004*J10</f>
        <v>23.435497224999999</v>
      </c>
      <c r="R10" s="188">
        <f>-0.000319*SIN(RADIANS(O10))-0.000024*SIN((RADIANS(2*P10)))</f>
        <v>1.1668967270040724E-4</v>
      </c>
      <c r="S10" s="188">
        <f>N10+R10*COS(RADIANS(Q10))</f>
        <v>17.925422532357235</v>
      </c>
      <c r="T10" s="188">
        <f>S10-'Data Entry-V'!$F$9/15</f>
        <v>29.556533643468349</v>
      </c>
      <c r="U10" s="188">
        <f>IF(T10&lt;0,T10+24,IF(T10&gt;24,T10-24,T10))</f>
        <v>5.5565336434683488</v>
      </c>
      <c r="V10" s="188">
        <f>U10-B10</f>
        <v>-0.36996635653165111</v>
      </c>
      <c r="W10" s="188">
        <f>V10*15</f>
        <v>-5.5494953479747666</v>
      </c>
      <c r="X10" s="188">
        <f>IF(W10&lt;0,W10+360,W10)</f>
        <v>354.45050465202524</v>
      </c>
      <c r="Y10" s="188">
        <f>-SIN(RADIANS(X10))</f>
        <v>9.6705596412197281E-2</v>
      </c>
      <c r="Z10" s="188">
        <f>TAN(RADIANS(C10))*COS(RADIANS('Data Entry-V'!$F$8))-SIN(RADIANS('Data Entry-V'!$F$8))*COS(RADIANS(X10))</f>
        <v>0.5296299092723995</v>
      </c>
      <c r="AA10" s="188">
        <f>DEGREES(ATAN2(Z10,Y10))</f>
        <v>10.34769680784153</v>
      </c>
      <c r="AB10" s="126">
        <f>IF(AA10&lt;0,AA10+360,AA10)</f>
        <v>10.34769680784153</v>
      </c>
      <c r="AC10" s="126">
        <f>DEGREES(ASIN((SIN(RADIANS('Data Entry-V'!$F$8))*SIN(RADIANS(C10)))+(COS(RADIANS('Data Entry-V'!$F$8))*COS(RADIANS(C10))*COS(RADIANS((U10-B10)*15)))))</f>
        <v>57.55382556755584</v>
      </c>
      <c r="AD10" s="188">
        <f>1/(COS((4*ATAN(1))/2-(AC10*(4*ATAN(1))/180)))</f>
        <v>1.1849803773729097</v>
      </c>
      <c r="AE10" s="188">
        <f>IF(AC10&gt;10,AD10-((AD10-1)*(0.0018161+(AD10-1)*(0.002875+(AD10-1)*0.0008083))),"")</f>
        <v>1.1845409422828901</v>
      </c>
      <c r="AF10" s="87"/>
      <c r="AG10" s="87"/>
      <c r="AH10" s="87"/>
      <c r="AI10" s="87"/>
    </row>
    <row r="11" spans="1:35">
      <c r="A11" s="42" t="s">
        <v>80</v>
      </c>
      <c r="B11" s="187">
        <v>2.6633</v>
      </c>
      <c r="C11" s="187">
        <v>-42.891800000000003</v>
      </c>
      <c r="D11" s="172">
        <v>4.74</v>
      </c>
      <c r="E11" s="172">
        <v>0.06</v>
      </c>
      <c r="F11" s="172">
        <v>0.06</v>
      </c>
      <c r="G11" s="188">
        <f>IF($AH$3&gt;0.5,($AH$2+2415019)+((((HOUR($AH$3)*60)+MINUTE($AH$3))/1440+DAY($AH$2))-0.5)-DAY($AH$2),($AH$2+2415019)+((((HOUR($AH$3)*60)+MINUTE($AH$3))/1440+DAY($AH$2))-1.5)-DAY($AH$2)+1)</f>
        <v>2461051.9375</v>
      </c>
      <c r="H11" s="188">
        <f>IF((G11-ROUNDDOWN(G11,0))&lt;0.5,ROUNDDOWN(G11,0)-0.5,ROUNDDOWN(G11,0)+0.5)</f>
        <v>2461051.5</v>
      </c>
      <c r="I11" s="188">
        <f>$AH$3*24</f>
        <v>10.5</v>
      </c>
      <c r="J11" s="188">
        <f>G11-2451545</f>
        <v>9506.9375</v>
      </c>
      <c r="K11" s="188">
        <f>G11-2451545</f>
        <v>9506.9375</v>
      </c>
      <c r="L11" s="188">
        <f>AVERAGE(H11-2451545)/36525</f>
        <v>0.26027378507871324</v>
      </c>
      <c r="M11" s="188">
        <f>6.697374558+(0.065707485828*K11)+(1.0027379093*I11)+(0.0854103*L11)+(0.000025862*L11*L11)</f>
        <v>641.92531546860243</v>
      </c>
      <c r="N11" s="188">
        <f>M11-24*(ROUNDDOWN(M11/24,0))</f>
        <v>17.925315468602435</v>
      </c>
      <c r="O11" s="188">
        <f>125.04-0.052954*J11</f>
        <v>-378.39036837499998</v>
      </c>
      <c r="P11" s="188">
        <f>280.47+0.98565*J11</f>
        <v>9650.9829468749995</v>
      </c>
      <c r="Q11" s="188">
        <f>23.4393-0.0000004*J11</f>
        <v>23.435497224999999</v>
      </c>
      <c r="R11" s="188">
        <f>-0.000319*SIN(RADIANS(O11))-0.000024*SIN((RADIANS(2*P11)))</f>
        <v>1.1668967270040724E-4</v>
      </c>
      <c r="S11" s="188">
        <f>N11+R11*COS(RADIANS(Q11))</f>
        <v>17.925422532357235</v>
      </c>
      <c r="T11" s="188">
        <f>S11-'Data Entry-V'!$F$9/15</f>
        <v>29.556533643468349</v>
      </c>
      <c r="U11" s="188">
        <f>IF(T11&lt;0,T11+24,IF(T11&gt;24,T11-24,T11))</f>
        <v>5.5565336434683488</v>
      </c>
      <c r="V11" s="188">
        <f>U11-B11</f>
        <v>2.8932336434683488</v>
      </c>
      <c r="W11" s="188">
        <f>V11*15</f>
        <v>43.398504652025231</v>
      </c>
      <c r="X11" s="188">
        <f>IF(W11&lt;0,W11+360,W11)</f>
        <v>43.398504652025231</v>
      </c>
      <c r="Y11" s="188">
        <f>-SIN(RADIANS(X11))</f>
        <v>-0.68706854788290861</v>
      </c>
      <c r="Z11" s="188">
        <f>TAN(RADIANS(C11))*COS(RADIANS('Data Entry-V'!$F$8))-SIN(RADIANS('Data Entry-V'!$F$8))*COS(RADIANS(X11))</f>
        <v>-0.30796358012341979</v>
      </c>
      <c r="AA11" s="188">
        <f>DEGREES(ATAN2(Z11,Y11))</f>
        <v>-114.1432736947105</v>
      </c>
      <c r="AB11" s="126">
        <f>IF(AA11&lt;0,AA11+360,AA11)</f>
        <v>245.8567263052895</v>
      </c>
      <c r="AC11" s="126">
        <f>DEGREES(ASIN((SIN(RADIANS('Data Entry-V'!$F$8))*SIN(RADIANS(C11)))+(COS(RADIANS('Data Entry-V'!$F$8))*COS(RADIANS(C11))*COS(RADIANS((U11-B11)*15)))))</f>
        <v>56.521265953470767</v>
      </c>
      <c r="AD11" s="188">
        <f>1/(COS((4*ATAN(1))/2-(AC11*(4*ATAN(1))/180)))</f>
        <v>1.1989104943236328</v>
      </c>
      <c r="AE11" s="188">
        <f>IF(AC11&gt;10,AD11-((AD11-1)*(0.0018161+(AD11-1)*(0.002875+(AD11-1)*0.0008083))),"")</f>
        <v>1.1984291411967851</v>
      </c>
      <c r="AF11" s="87"/>
      <c r="AG11" s="87"/>
      <c r="AH11" s="87"/>
      <c r="AI11" s="87"/>
    </row>
    <row r="12" spans="1:35">
      <c r="A12" s="42" t="s">
        <v>81</v>
      </c>
      <c r="B12" s="187">
        <v>5.4824999999999999</v>
      </c>
      <c r="C12" s="187">
        <v>-3.3073999999999999</v>
      </c>
      <c r="D12" s="172">
        <v>6.38</v>
      </c>
      <c r="E12" s="172">
        <v>-0.01</v>
      </c>
      <c r="F12" s="172">
        <v>-0.06</v>
      </c>
      <c r="G12" s="188">
        <f>IF($AH$3&gt;0.5,($AH$2+2415019)+((((HOUR($AH$3)*60)+MINUTE($AH$3))/1440+DAY($AH$2))-0.5)-DAY($AH$2),($AH$2+2415019)+((((HOUR($AH$3)*60)+MINUTE($AH$3))/1440+DAY($AH$2))-1.5)-DAY($AH$2)+1)</f>
        <v>2461051.9375</v>
      </c>
      <c r="H12" s="188">
        <f>IF((G12-ROUNDDOWN(G12,0))&lt;0.5,ROUNDDOWN(G12,0)-0.5,ROUNDDOWN(G12,0)+0.5)</f>
        <v>2461051.5</v>
      </c>
      <c r="I12" s="188">
        <f>$AH$3*24</f>
        <v>10.5</v>
      </c>
      <c r="J12" s="188">
        <f>G12-2451545</f>
        <v>9506.9375</v>
      </c>
      <c r="K12" s="188">
        <f>G12-2451545</f>
        <v>9506.9375</v>
      </c>
      <c r="L12" s="188">
        <f>AVERAGE(H12-2451545)/36525</f>
        <v>0.26027378507871324</v>
      </c>
      <c r="M12" s="188">
        <f>6.697374558+(0.065707485828*K12)+(1.0027379093*I12)+(0.0854103*L12)+(0.000025862*L12*L12)</f>
        <v>641.92531546860243</v>
      </c>
      <c r="N12" s="188">
        <f>M12-24*(ROUNDDOWN(M12/24,0))</f>
        <v>17.925315468602435</v>
      </c>
      <c r="O12" s="188">
        <f>125.04-0.052954*J12</f>
        <v>-378.39036837499998</v>
      </c>
      <c r="P12" s="188">
        <f>280.47+0.98565*J12</f>
        <v>9650.9829468749995</v>
      </c>
      <c r="Q12" s="188">
        <f>23.4393-0.0000004*J12</f>
        <v>23.435497224999999</v>
      </c>
      <c r="R12" s="188">
        <f>-0.000319*SIN(RADIANS(O12))-0.000024*SIN((RADIANS(2*P12)))</f>
        <v>1.1668967270040724E-4</v>
      </c>
      <c r="S12" s="188">
        <f>N12+R12*COS(RADIANS(Q12))</f>
        <v>17.925422532357235</v>
      </c>
      <c r="T12" s="188">
        <f>S12-'Data Entry-V'!$F$9/15</f>
        <v>29.556533643468349</v>
      </c>
      <c r="U12" s="188">
        <f>IF(T12&lt;0,T12+24,IF(T12&gt;24,T12-24,T12))</f>
        <v>5.5565336434683488</v>
      </c>
      <c r="V12" s="188">
        <f>U12-B12</f>
        <v>7.4033643468348842E-2</v>
      </c>
      <c r="W12" s="188">
        <f>V12*15</f>
        <v>1.1105046520252326</v>
      </c>
      <c r="X12" s="188">
        <f>IF(W12&lt;0,W12+360,W12)</f>
        <v>1.1105046520252326</v>
      </c>
      <c r="Y12" s="188">
        <f>-SIN(RADIANS(X12))</f>
        <v>-1.9380749053148957E-2</v>
      </c>
      <c r="Z12" s="188">
        <f>TAN(RADIANS(C12))*COS(RADIANS('Data Entry-V'!$F$8))-SIN(RADIANS('Data Entry-V'!$F$8))*COS(RADIANS(X12))</f>
        <v>0.55312324938571922</v>
      </c>
      <c r="AA12" s="188">
        <f>DEGREES(ATAN2(Z12,Y12))</f>
        <v>-2.0067517102208834</v>
      </c>
      <c r="AB12" s="126">
        <f>IF(AA12&lt;0,AA12+360,AA12)</f>
        <v>357.9932482897791</v>
      </c>
      <c r="AC12" s="126">
        <f>DEGREES(ASIN((SIN(RADIANS('Data Entry-V'!$F$8))*SIN(RADIANS(C12)))+(COS(RADIANS('Data Entry-V'!$F$8))*COS(RADIANS(C12))*COS(RADIANS((U12-B12)*15)))))</f>
        <v>56.458500814081958</v>
      </c>
      <c r="AD12" s="188">
        <f>1/(COS((4*ATAN(1))/2-(AC12*(4*ATAN(1))/180)))</f>
        <v>1.1997804351454704</v>
      </c>
      <c r="AE12" s="188">
        <f>IF(AC12&gt;10,AD12-((AD12-1)*(0.0018161+(AD12-1)*(0.002875+(AD12-1)*0.0008083))),"")</f>
        <v>1.1992964211317263</v>
      </c>
      <c r="AF12" s="87"/>
      <c r="AG12" s="87"/>
      <c r="AH12" s="87"/>
      <c r="AI12" s="87"/>
    </row>
    <row r="13" spans="1:35">
      <c r="A13" s="42" t="s">
        <v>82</v>
      </c>
      <c r="B13" s="187">
        <v>6.3897000000000004</v>
      </c>
      <c r="C13" s="187">
        <v>-4.6604999999999999</v>
      </c>
      <c r="D13" s="172">
        <v>6.66</v>
      </c>
      <c r="E13" s="172">
        <v>0.06</v>
      </c>
      <c r="F13" s="172">
        <v>0</v>
      </c>
      <c r="G13" s="188">
        <f>IF($AH$3&gt;0.5,($AH$2+2415019)+((((HOUR($AH$3)*60)+MINUTE($AH$3))/1440+DAY($AH$2))-0.5)-DAY($AH$2),($AH$2+2415019)+((((HOUR($AH$3)*60)+MINUTE($AH$3))/1440+DAY($AH$2))-1.5)-DAY($AH$2)+1)</f>
        <v>2461051.9375</v>
      </c>
      <c r="H13" s="188">
        <f>IF((G13-ROUNDDOWN(G13,0))&lt;0.5,ROUNDDOWN(G13,0)-0.5,ROUNDDOWN(G13,0)+0.5)</f>
        <v>2461051.5</v>
      </c>
      <c r="I13" s="188">
        <f>$AH$3*24</f>
        <v>10.5</v>
      </c>
      <c r="J13" s="188">
        <f>G13-2451545</f>
        <v>9506.9375</v>
      </c>
      <c r="K13" s="188">
        <f>G13-2451545</f>
        <v>9506.9375</v>
      </c>
      <c r="L13" s="188">
        <f>AVERAGE(H13-2451545)/36525</f>
        <v>0.26027378507871324</v>
      </c>
      <c r="M13" s="188">
        <f>6.697374558+(0.065707485828*K13)+(1.0027379093*I13)+(0.0854103*L13)+(0.000025862*L13*L13)</f>
        <v>641.92531546860243</v>
      </c>
      <c r="N13" s="188">
        <f>M13-24*(ROUNDDOWN(M13/24,0))</f>
        <v>17.925315468602435</v>
      </c>
      <c r="O13" s="188">
        <f>125.04-0.052954*J13</f>
        <v>-378.39036837499998</v>
      </c>
      <c r="P13" s="188">
        <f>280.47+0.98565*J13</f>
        <v>9650.9829468749995</v>
      </c>
      <c r="Q13" s="188">
        <f>23.4393-0.0000004*J13</f>
        <v>23.435497224999999</v>
      </c>
      <c r="R13" s="188">
        <f>-0.000319*SIN(RADIANS(O13))-0.000024*SIN((RADIANS(2*P13)))</f>
        <v>1.1668967270040724E-4</v>
      </c>
      <c r="S13" s="188">
        <f>N13+R13*COS(RADIANS(Q13))</f>
        <v>17.925422532357235</v>
      </c>
      <c r="T13" s="188">
        <f>S13-'Data Entry-V'!$F$9/15</f>
        <v>29.556533643468349</v>
      </c>
      <c r="U13" s="188">
        <f>IF(T13&lt;0,T13+24,IF(T13&gt;24,T13-24,T13))</f>
        <v>5.5565336434683488</v>
      </c>
      <c r="V13" s="188">
        <f>U13-B13</f>
        <v>-0.83316635653165161</v>
      </c>
      <c r="W13" s="188">
        <f>V13*15</f>
        <v>-12.497495347974773</v>
      </c>
      <c r="X13" s="188">
        <f>IF(W13&lt;0,W13+360,W13)</f>
        <v>347.50250465202521</v>
      </c>
      <c r="Y13" s="188">
        <f>-SIN(RADIANS(X13))</f>
        <v>0.21639693551326353</v>
      </c>
      <c r="Z13" s="188">
        <f>TAN(RADIANS(C13))*COS(RADIANS('Data Entry-V'!$F$8))-SIN(RADIANS('Data Entry-V'!$F$8))*COS(RADIANS(X13))</f>
        <v>0.52003677097612844</v>
      </c>
      <c r="AA13" s="188">
        <f>DEGREES(ATAN2(Z13,Y13))</f>
        <v>22.593099559539606</v>
      </c>
      <c r="AB13" s="126">
        <f>IF(AA13&lt;0,AA13+360,AA13)</f>
        <v>22.593099559539606</v>
      </c>
      <c r="AC13" s="126">
        <f>DEGREES(ASIN((SIN(RADIANS('Data Entry-V'!$F$8))*SIN(RADIANS(C13)))+(COS(RADIANS('Data Entry-V'!$F$8))*COS(RADIANS(C13))*COS(RADIANS((U13-B13)*15)))))</f>
        <v>55.847241572174447</v>
      </c>
      <c r="AD13" s="188">
        <f>1/(COS((4*ATAN(1))/2-(AC13*(4*ATAN(1))/180)))</f>
        <v>1.2083953373081622</v>
      </c>
      <c r="AE13" s="188">
        <f>IF(AC13&gt;10,AD13-((AD13-1)*(0.0018161+(AD13-1)*(0.002875+(AD13-1)*0.0008083))),"")</f>
        <v>1.2078846978886859</v>
      </c>
      <c r="AF13" s="87"/>
      <c r="AG13" s="87"/>
      <c r="AH13" s="87"/>
      <c r="AI13" s="87"/>
    </row>
    <row r="14" spans="1:35">
      <c r="A14" s="42" t="s">
        <v>83</v>
      </c>
      <c r="B14" s="187">
        <v>4.0990000000000002</v>
      </c>
      <c r="C14" s="187">
        <v>-8.8560999999999996</v>
      </c>
      <c r="D14" s="172">
        <v>6.26</v>
      </c>
      <c r="E14" s="172">
        <v>0.06</v>
      </c>
      <c r="F14" s="172">
        <v>0.08</v>
      </c>
      <c r="G14" s="188">
        <f>IF($AH$3&gt;0.5,($AH$2+2415019)+((((HOUR($AH$3)*60)+MINUTE($AH$3))/1440+DAY($AH$2))-0.5)-DAY($AH$2),($AH$2+2415019)+((((HOUR($AH$3)*60)+MINUTE($AH$3))/1440+DAY($AH$2))-1.5)-DAY($AH$2)+1)</f>
        <v>2461051.9375</v>
      </c>
      <c r="H14" s="188">
        <f>IF((G14-ROUNDDOWN(G14,0))&lt;0.5,ROUNDDOWN(G14,0)-0.5,ROUNDDOWN(G14,0)+0.5)</f>
        <v>2461051.5</v>
      </c>
      <c r="I14" s="188">
        <f>$AH$3*24</f>
        <v>10.5</v>
      </c>
      <c r="J14" s="188">
        <f>G14-2451545</f>
        <v>9506.9375</v>
      </c>
      <c r="K14" s="188">
        <f>G14-2451545</f>
        <v>9506.9375</v>
      </c>
      <c r="L14" s="188">
        <f>AVERAGE(H14-2451545)/36525</f>
        <v>0.26027378507871324</v>
      </c>
      <c r="M14" s="188">
        <f>6.697374558+(0.065707485828*K14)+(1.0027379093*I14)+(0.0854103*L14)+(0.000025862*L14*L14)</f>
        <v>641.92531546860243</v>
      </c>
      <c r="N14" s="188">
        <f>M14-24*(ROUNDDOWN(M14/24,0))</f>
        <v>17.925315468602435</v>
      </c>
      <c r="O14" s="188">
        <f>125.04-0.052954*J14</f>
        <v>-378.39036837499998</v>
      </c>
      <c r="P14" s="188">
        <f>280.47+0.98565*J14</f>
        <v>9650.9829468749995</v>
      </c>
      <c r="Q14" s="188">
        <f>23.4393-0.0000004*J14</f>
        <v>23.435497224999999</v>
      </c>
      <c r="R14" s="188">
        <f>-0.000319*SIN(RADIANS(O14))-0.000024*SIN((RADIANS(2*P14)))</f>
        <v>1.1668967270040724E-4</v>
      </c>
      <c r="S14" s="188">
        <f>N14+R14*COS(RADIANS(Q14))</f>
        <v>17.925422532357235</v>
      </c>
      <c r="T14" s="188">
        <f>S14-'Data Entry-V'!$F$9/15</f>
        <v>29.556533643468349</v>
      </c>
      <c r="U14" s="188">
        <f>IF(T14&lt;0,T14+24,IF(T14&gt;24,T14-24,T14))</f>
        <v>5.5565336434683488</v>
      </c>
      <c r="V14" s="188">
        <f>U14-B14</f>
        <v>1.4575336434683486</v>
      </c>
      <c r="W14" s="188">
        <f>V14*15</f>
        <v>21.863004652025229</v>
      </c>
      <c r="X14" s="188">
        <f>IF(W14&lt;0,W14+360,W14)</f>
        <v>21.863004652025229</v>
      </c>
      <c r="Y14" s="188">
        <f>-SIN(RADIANS(X14))</f>
        <v>-0.37238860968968873</v>
      </c>
      <c r="Z14" s="188">
        <f>TAN(RADIANS(C14))*COS(RADIANS('Data Entry-V'!$F$8))-SIN(RADIANS('Data Entry-V'!$F$8))*COS(RADIANS(X14))</f>
        <v>0.43166383289156113</v>
      </c>
      <c r="AA14" s="188">
        <f>DEGREES(ATAN2(Z14,Y14))</f>
        <v>-40.783748153824703</v>
      </c>
      <c r="AB14" s="126">
        <f>IF(AA14&lt;0,AA14+360,AA14)</f>
        <v>319.21625184617528</v>
      </c>
      <c r="AC14" s="126">
        <f>DEGREES(ASIN((SIN(RADIANS('Data Entry-V'!$F$8))*SIN(RADIANS(C14)))+(COS(RADIANS('Data Entry-V'!$F$8))*COS(RADIANS(C14))*COS(RADIANS((U14-B14)*15)))))</f>
        <v>55.715870275137206</v>
      </c>
      <c r="AD14" s="188">
        <f>1/(COS((4*ATAN(1))/2-(AC14*(4*ATAN(1))/180)))</f>
        <v>1.2102810669443904</v>
      </c>
      <c r="AE14" s="188">
        <f>IF(AC14&gt;10,AD14-((AD14-1)*(0.0018161+(AD14-1)*(0.002875+(AD14-1)*0.0008083))),"")</f>
        <v>1.2097645326199478</v>
      </c>
      <c r="AF14" s="87"/>
      <c r="AG14" s="87"/>
      <c r="AH14" s="87"/>
      <c r="AI14" s="87"/>
    </row>
    <row r="15" spans="1:35">
      <c r="A15" s="42" t="s">
        <v>84</v>
      </c>
      <c r="B15" s="187">
        <v>8.6273999999999997</v>
      </c>
      <c r="C15" s="187">
        <v>-42.989100000000001</v>
      </c>
      <c r="D15" s="172">
        <v>4.1399999999999997</v>
      </c>
      <c r="E15" s="172">
        <v>0.1</v>
      </c>
      <c r="F15" s="172">
        <v>0.12</v>
      </c>
      <c r="G15" s="188">
        <f>IF($AH$3&gt;0.5,($AH$2+2415019)+((((HOUR($AH$3)*60)+MINUTE($AH$3))/1440+DAY($AH$2))-0.5)-DAY($AH$2),($AH$2+2415019)+((((HOUR($AH$3)*60)+MINUTE($AH$3))/1440+DAY($AH$2))-1.5)-DAY($AH$2)+1)</f>
        <v>2461051.9375</v>
      </c>
      <c r="H15" s="188">
        <f>IF((G15-ROUNDDOWN(G15,0))&lt;0.5,ROUNDDOWN(G15,0)-0.5,ROUNDDOWN(G15,0)+0.5)</f>
        <v>2461051.5</v>
      </c>
      <c r="I15" s="188">
        <f>$AH$3*24</f>
        <v>10.5</v>
      </c>
      <c r="J15" s="188">
        <f>G15-2451545</f>
        <v>9506.9375</v>
      </c>
      <c r="K15" s="188">
        <f>G15-2451545</f>
        <v>9506.9375</v>
      </c>
      <c r="L15" s="188">
        <f>AVERAGE(H15-2451545)/36525</f>
        <v>0.26027378507871324</v>
      </c>
      <c r="M15" s="188">
        <f>6.697374558+(0.065707485828*K15)+(1.0027379093*I15)+(0.0854103*L15)+(0.000025862*L15*L15)</f>
        <v>641.92531546860243</v>
      </c>
      <c r="N15" s="188">
        <f>M15-24*(ROUNDDOWN(M15/24,0))</f>
        <v>17.925315468602435</v>
      </c>
      <c r="O15" s="188">
        <f>125.04-0.052954*J15</f>
        <v>-378.39036837499998</v>
      </c>
      <c r="P15" s="188">
        <f>280.47+0.98565*J15</f>
        <v>9650.9829468749995</v>
      </c>
      <c r="Q15" s="188">
        <f>23.4393-0.0000004*J15</f>
        <v>23.435497224999999</v>
      </c>
      <c r="R15" s="188">
        <f>-0.000319*SIN(RADIANS(O15))-0.000024*SIN((RADIANS(2*P15)))</f>
        <v>1.1668967270040724E-4</v>
      </c>
      <c r="S15" s="188">
        <f>N15+R15*COS(RADIANS(Q15))</f>
        <v>17.925422532357235</v>
      </c>
      <c r="T15" s="188">
        <f>S15-'Data Entry-V'!$F$9/15</f>
        <v>29.556533643468349</v>
      </c>
      <c r="U15" s="188">
        <f>IF(T15&lt;0,T15+24,IF(T15&gt;24,T15-24,T15))</f>
        <v>5.5565336434683488</v>
      </c>
      <c r="V15" s="188">
        <f>U15-B15</f>
        <v>-3.070866356531651</v>
      </c>
      <c r="W15" s="188">
        <f>V15*15</f>
        <v>-46.062995347974763</v>
      </c>
      <c r="X15" s="188">
        <f>IF(W15&lt;0,W15+360,W15)</f>
        <v>313.93700465202522</v>
      </c>
      <c r="Y15" s="188">
        <f>-SIN(RADIANS(X15))</f>
        <v>0.72010312576875957</v>
      </c>
      <c r="Z15" s="188">
        <f>TAN(RADIANS(C15))*COS(RADIANS('Data Entry-V'!$F$8))-SIN(RADIANS('Data Entry-V'!$F$8))*COS(RADIANS(X15))</f>
        <v>-0.33011845010467988</v>
      </c>
      <c r="AA15" s="188">
        <f>DEGREES(ATAN2(Z15,Y15))</f>
        <v>114.62824520313421</v>
      </c>
      <c r="AB15" s="126">
        <f>IF(AA15&lt;0,AA15+360,AA15)</f>
        <v>114.62824520313421</v>
      </c>
      <c r="AC15" s="126">
        <f>DEGREES(ASIN((SIN(RADIANS('Data Entry-V'!$F$8))*SIN(RADIANS(C15)))+(COS(RADIANS('Data Entry-V'!$F$8))*COS(RADIANS(C15))*COS(RADIANS((U15-B15)*15)))))</f>
        <v>54.587697634108565</v>
      </c>
      <c r="AD15" s="188">
        <f>1/(COS((4*ATAN(1))/2-(AC15*(4*ATAN(1))/180)))</f>
        <v>1.2269887530111823</v>
      </c>
      <c r="AE15" s="188">
        <f>IF(AC15&gt;10,AD15-((AD15-1)*(0.0018161+(AD15-1)*(0.002875+(AD15-1)*0.0008083))),"")</f>
        <v>1.2264189341946898</v>
      </c>
      <c r="AF15" s="87"/>
      <c r="AG15" s="87"/>
      <c r="AH15" s="87"/>
      <c r="AI15" s="87"/>
    </row>
    <row r="16" spans="1:35">
      <c r="A16" s="42" t="s">
        <v>85</v>
      </c>
      <c r="B16" s="187">
        <v>6.2123999999999997</v>
      </c>
      <c r="C16" s="187">
        <v>-2.5047999999999999</v>
      </c>
      <c r="D16" s="172">
        <v>6.62</v>
      </c>
      <c r="E16" s="172">
        <v>0.04</v>
      </c>
      <c r="F16" s="172">
        <v>0.08</v>
      </c>
      <c r="G16" s="188">
        <f>IF($AH$3&gt;0.5,($AH$2+2415019)+((((HOUR($AH$3)*60)+MINUTE($AH$3))/1440+DAY($AH$2))-0.5)-DAY($AH$2),($AH$2+2415019)+((((HOUR($AH$3)*60)+MINUTE($AH$3))/1440+DAY($AH$2))-1.5)-DAY($AH$2)+1)</f>
        <v>2461051.9375</v>
      </c>
      <c r="H16" s="188">
        <f>IF((G16-ROUNDDOWN(G16,0))&lt;0.5,ROUNDDOWN(G16,0)-0.5,ROUNDDOWN(G16,0)+0.5)</f>
        <v>2461051.5</v>
      </c>
      <c r="I16" s="188">
        <f>$AH$3*24</f>
        <v>10.5</v>
      </c>
      <c r="J16" s="188">
        <f>G16-2451545</f>
        <v>9506.9375</v>
      </c>
      <c r="K16" s="188">
        <f>G16-2451545</f>
        <v>9506.9375</v>
      </c>
      <c r="L16" s="188">
        <f>AVERAGE(H16-2451545)/36525</f>
        <v>0.26027378507871324</v>
      </c>
      <c r="M16" s="188">
        <f>6.697374558+(0.065707485828*K16)+(1.0027379093*I16)+(0.0854103*L16)+(0.000025862*L16*L16)</f>
        <v>641.92531546860243</v>
      </c>
      <c r="N16" s="188">
        <f>M16-24*(ROUNDDOWN(M16/24,0))</f>
        <v>17.925315468602435</v>
      </c>
      <c r="O16" s="188">
        <f>125.04-0.052954*J16</f>
        <v>-378.39036837499998</v>
      </c>
      <c r="P16" s="188">
        <f>280.47+0.98565*J16</f>
        <v>9650.9829468749995</v>
      </c>
      <c r="Q16" s="188">
        <f>23.4393-0.0000004*J16</f>
        <v>23.435497224999999</v>
      </c>
      <c r="R16" s="188">
        <f>-0.000319*SIN(RADIANS(O16))-0.000024*SIN((RADIANS(2*P16)))</f>
        <v>1.1668967270040724E-4</v>
      </c>
      <c r="S16" s="188">
        <f>N16+R16*COS(RADIANS(Q16))</f>
        <v>17.925422532357235</v>
      </c>
      <c r="T16" s="188">
        <f>S16-'Data Entry-V'!$F$9/15</f>
        <v>29.556533643468349</v>
      </c>
      <c r="U16" s="188">
        <f>IF(T16&lt;0,T16+24,IF(T16&gt;24,T16-24,T16))</f>
        <v>5.5565336434683488</v>
      </c>
      <c r="V16" s="188">
        <f>U16-B16</f>
        <v>-0.65586635653165093</v>
      </c>
      <c r="W16" s="188">
        <f>V16*15</f>
        <v>-9.8379953479747648</v>
      </c>
      <c r="X16" s="188">
        <f>IF(W16&lt;0,W16+360,W16)</f>
        <v>350.16200465202525</v>
      </c>
      <c r="Y16" s="188">
        <f>-SIN(RADIANS(X16))</f>
        <v>0.17086292895164817</v>
      </c>
      <c r="Z16" s="188">
        <f>TAN(RADIANS(C16))*COS(RADIANS('Data Entry-V'!$F$8))-SIN(RADIANS('Data Entry-V'!$F$8))*COS(RADIANS(X16))</f>
        <v>0.55566109230879335</v>
      </c>
      <c r="AA16" s="188">
        <f>DEGREES(ATAN2(Z16,Y16))</f>
        <v>17.092393812101726</v>
      </c>
      <c r="AB16" s="126">
        <f>IF(AA16&lt;0,AA16+360,AA16)</f>
        <v>17.092393812101726</v>
      </c>
      <c r="AC16" s="126">
        <f>DEGREES(ASIN((SIN(RADIANS('Data Entry-V'!$F$8))*SIN(RADIANS(C16)))+(COS(RADIANS('Data Entry-V'!$F$8))*COS(RADIANS(C16))*COS(RADIANS((U16-B16)*15)))))</f>
        <v>54.494425853742548</v>
      </c>
      <c r="AD16" s="188">
        <f>1/(COS((4*ATAN(1))/2-(AC16*(4*ATAN(1))/180)))</f>
        <v>1.2284121617740644</v>
      </c>
      <c r="AE16" s="188">
        <f>IF(AC16&gt;10,AD16-((AD16-1)*(0.0018161+(AD16-1)*(0.002875+(AD16-1)*0.0008083))),"")</f>
        <v>1.2278377153090188</v>
      </c>
      <c r="AF16" s="87"/>
      <c r="AG16" s="87"/>
      <c r="AH16" s="87"/>
      <c r="AI16" s="87"/>
    </row>
    <row r="17" spans="1:35">
      <c r="A17" s="42" t="s">
        <v>86</v>
      </c>
      <c r="B17" s="187">
        <v>4.9696999999999996</v>
      </c>
      <c r="C17" s="187">
        <v>-2.2126999999999999</v>
      </c>
      <c r="D17" s="172">
        <v>6.34</v>
      </c>
      <c r="E17" s="172">
        <v>0.09</v>
      </c>
      <c r="F17" s="172">
        <v>0.11</v>
      </c>
      <c r="G17" s="188">
        <f>IF($AH$3&gt;0.5,($AH$2+2415019)+((((HOUR($AH$3)*60)+MINUTE($AH$3))/1440+DAY($AH$2))-0.5)-DAY($AH$2),($AH$2+2415019)+((((HOUR($AH$3)*60)+MINUTE($AH$3))/1440+DAY($AH$2))-1.5)-DAY($AH$2)+1)</f>
        <v>2461051.9375</v>
      </c>
      <c r="H17" s="188">
        <f>IF((G17-ROUNDDOWN(G17,0))&lt;0.5,ROUNDDOWN(G17,0)-0.5,ROUNDDOWN(G17,0)+0.5)</f>
        <v>2461051.5</v>
      </c>
      <c r="I17" s="188">
        <f>$AH$3*24</f>
        <v>10.5</v>
      </c>
      <c r="J17" s="188">
        <f>G17-2451545</f>
        <v>9506.9375</v>
      </c>
      <c r="K17" s="188">
        <f>G17-2451545</f>
        <v>9506.9375</v>
      </c>
      <c r="L17" s="188">
        <f>AVERAGE(H17-2451545)/36525</f>
        <v>0.26027378507871324</v>
      </c>
      <c r="M17" s="188">
        <f>6.697374558+(0.065707485828*K17)+(1.0027379093*I17)+(0.0854103*L17)+(0.000025862*L17*L17)</f>
        <v>641.92531546860243</v>
      </c>
      <c r="N17" s="188">
        <f>M17-24*(ROUNDDOWN(M17/24,0))</f>
        <v>17.925315468602435</v>
      </c>
      <c r="O17" s="188">
        <f>125.04-0.052954*J17</f>
        <v>-378.39036837499998</v>
      </c>
      <c r="P17" s="188">
        <f>280.47+0.98565*J17</f>
        <v>9650.9829468749995</v>
      </c>
      <c r="Q17" s="188">
        <f>23.4393-0.0000004*J17</f>
        <v>23.435497224999999</v>
      </c>
      <c r="R17" s="188">
        <f>-0.000319*SIN(RADIANS(O17))-0.000024*SIN((RADIANS(2*P17)))</f>
        <v>1.1668967270040724E-4</v>
      </c>
      <c r="S17" s="188">
        <f>N17+R17*COS(RADIANS(Q17))</f>
        <v>17.925422532357235</v>
      </c>
      <c r="T17" s="188">
        <f>S17-'Data Entry-V'!$F$9/15</f>
        <v>29.556533643468349</v>
      </c>
      <c r="U17" s="188">
        <f>IF(T17&lt;0,T17+24,IF(T17&gt;24,T17-24,T17))</f>
        <v>5.5565336434683488</v>
      </c>
      <c r="V17" s="188">
        <f>U17-B17</f>
        <v>0.58683364346834921</v>
      </c>
      <c r="W17" s="188">
        <f>V17*15</f>
        <v>8.8025046520252381</v>
      </c>
      <c r="X17" s="188">
        <f>IF(W17&lt;0,W17+360,W17)</f>
        <v>8.8025046520252381</v>
      </c>
      <c r="Y17" s="188">
        <f>-SIN(RADIANS(X17))</f>
        <v>-0.15302903597277726</v>
      </c>
      <c r="Z17" s="188">
        <f>TAN(RADIANS(C17))*COS(RADIANS('Data Entry-V'!$F$8))-SIN(RADIANS('Data Entry-V'!$F$8))*COS(RADIANS(X17))</f>
        <v>0.56150309718862912</v>
      </c>
      <c r="AA17" s="188">
        <f>DEGREES(ATAN2(Z17,Y17))</f>
        <v>-15.244844456141822</v>
      </c>
      <c r="AB17" s="126">
        <f>IF(AA17&lt;0,AA17+360,AA17)</f>
        <v>344.75515554385817</v>
      </c>
      <c r="AC17" s="126">
        <f>DEGREES(ASIN((SIN(RADIANS('Data Entry-V'!$F$8))*SIN(RADIANS(C17)))+(COS(RADIANS('Data Entry-V'!$F$8))*COS(RADIANS(C17))*COS(RADIANS((U17-B17)*15)))))</f>
        <v>54.440466742267112</v>
      </c>
      <c r="AD17" s="188">
        <f>1/(COS((4*ATAN(1))/2-(AC17*(4*ATAN(1))/180)))</f>
        <v>1.2292386224791152</v>
      </c>
      <c r="AE17" s="188">
        <f>IF(AC17&gt;10,AD17-((AD17-1)*(0.0018161+(AD17-1)*(0.002875+(AD17-1)*0.0008083))),"")</f>
        <v>1.228661482730306</v>
      </c>
      <c r="AF17" s="87"/>
      <c r="AG17" s="87"/>
      <c r="AH17" s="87"/>
      <c r="AI17" s="87"/>
    </row>
    <row r="18" spans="1:35">
      <c r="A18" s="42" t="s">
        <v>87</v>
      </c>
      <c r="B18" s="187">
        <v>4.7733999999999996</v>
      </c>
      <c r="C18" s="187">
        <v>-2.9544000000000001</v>
      </c>
      <c r="D18" s="172">
        <v>6.33</v>
      </c>
      <c r="E18" s="172">
        <v>0.04</v>
      </c>
      <c r="F18" s="172">
        <v>0.06</v>
      </c>
      <c r="G18" s="188">
        <f>IF($AH$3&gt;0.5,($AH$2+2415019)+((((HOUR($AH$3)*60)+MINUTE($AH$3))/1440+DAY($AH$2))-0.5)-DAY($AH$2),($AH$2+2415019)+((((HOUR($AH$3)*60)+MINUTE($AH$3))/1440+DAY($AH$2))-1.5)-DAY($AH$2)+1)</f>
        <v>2461051.9375</v>
      </c>
      <c r="H18" s="188">
        <f>IF((G18-ROUNDDOWN(G18,0))&lt;0.5,ROUNDDOWN(G18,0)-0.5,ROUNDDOWN(G18,0)+0.5)</f>
        <v>2461051.5</v>
      </c>
      <c r="I18" s="188">
        <f>$AH$3*24</f>
        <v>10.5</v>
      </c>
      <c r="J18" s="188">
        <f>G18-2451545</f>
        <v>9506.9375</v>
      </c>
      <c r="K18" s="188">
        <f>G18-2451545</f>
        <v>9506.9375</v>
      </c>
      <c r="L18" s="188">
        <f>AVERAGE(H18-2451545)/36525</f>
        <v>0.26027378507871324</v>
      </c>
      <c r="M18" s="188">
        <f>6.697374558+(0.065707485828*K18)+(1.0027379093*I18)+(0.0854103*L18)+(0.000025862*L18*L18)</f>
        <v>641.92531546860243</v>
      </c>
      <c r="N18" s="188">
        <f>M18-24*(ROUNDDOWN(M18/24,0))</f>
        <v>17.925315468602435</v>
      </c>
      <c r="O18" s="188">
        <f>125.04-0.052954*J18</f>
        <v>-378.39036837499998</v>
      </c>
      <c r="P18" s="188">
        <f>280.47+0.98565*J18</f>
        <v>9650.9829468749995</v>
      </c>
      <c r="Q18" s="188">
        <f>23.4393-0.0000004*J18</f>
        <v>23.435497224999999</v>
      </c>
      <c r="R18" s="188">
        <f>-0.000319*SIN(RADIANS(O18))-0.000024*SIN((RADIANS(2*P18)))</f>
        <v>1.1668967270040724E-4</v>
      </c>
      <c r="S18" s="188">
        <f>N18+R18*COS(RADIANS(Q18))</f>
        <v>17.925422532357235</v>
      </c>
      <c r="T18" s="188">
        <f>S18-'Data Entry-V'!$F$9/15</f>
        <v>29.556533643468349</v>
      </c>
      <c r="U18" s="188">
        <f>IF(T18&lt;0,T18+24,IF(T18&gt;24,T18-24,T18))</f>
        <v>5.5565336434683488</v>
      </c>
      <c r="V18" s="188">
        <f>U18-B18</f>
        <v>0.78313364346834913</v>
      </c>
      <c r="W18" s="188">
        <f>V18*15</f>
        <v>11.747004652025236</v>
      </c>
      <c r="X18" s="188">
        <f>IF(W18&lt;0,W18+360,W18)</f>
        <v>11.747004652025236</v>
      </c>
      <c r="Y18" s="188">
        <f>-SIN(RADIANS(X18))</f>
        <v>-0.20359056765264635</v>
      </c>
      <c r="Z18" s="188">
        <f>TAN(RADIANS(C18))*COS(RADIANS('Data Entry-V'!$F$8))-SIN(RADIANS('Data Entry-V'!$F$8))*COS(RADIANS(X18))</f>
        <v>0.54562615115795898</v>
      </c>
      <c r="AA18" s="188">
        <f>DEGREES(ATAN2(Z18,Y18))</f>
        <v>-20.462153557420443</v>
      </c>
      <c r="AB18" s="126">
        <f>IF(AA18&lt;0,AA18+360,AA18)</f>
        <v>339.53784644257956</v>
      </c>
      <c r="AC18" s="126">
        <f>DEGREES(ASIN((SIN(RADIANS('Data Entry-V'!$F$8))*SIN(RADIANS(C18)))+(COS(RADIANS('Data Entry-V'!$F$8))*COS(RADIANS(C18))*COS(RADIANS((U18-B18)*15)))))</f>
        <v>54.436995101037283</v>
      </c>
      <c r="AD18" s="188">
        <f>1/(COS((4*ATAN(1))/2-(AC18*(4*ATAN(1))/180)))</f>
        <v>1.2292918710300806</v>
      </c>
      <c r="AE18" s="188">
        <f>IF(AC18&gt;10,AD18-((AD18-1)*(0.0018161+(AD18-1)*(0.002875+(AD18-1)*0.0008083))),"")</f>
        <v>1.2287145575933318</v>
      </c>
      <c r="AF18" s="87"/>
      <c r="AG18" s="95"/>
      <c r="AH18" s="87"/>
      <c r="AI18" s="87"/>
    </row>
    <row r="19" spans="1:35">
      <c r="A19" s="42" t="s">
        <v>88</v>
      </c>
      <c r="B19" s="187">
        <v>8.6869999999999994</v>
      </c>
      <c r="C19" s="187">
        <v>-47.317100000000003</v>
      </c>
      <c r="D19" s="172">
        <v>4.7699999999999996</v>
      </c>
      <c r="E19" s="172">
        <v>0.12</v>
      </c>
      <c r="F19" s="172">
        <v>0.12</v>
      </c>
      <c r="G19" s="188">
        <f>IF($AH$3&gt;0.5,($AH$2+2415019)+((((HOUR($AH$3)*60)+MINUTE($AH$3))/1440+DAY($AH$2))-0.5)-DAY($AH$2),($AH$2+2415019)+((((HOUR($AH$3)*60)+MINUTE($AH$3))/1440+DAY($AH$2))-1.5)-DAY($AH$2)+1)</f>
        <v>2461051.9375</v>
      </c>
      <c r="H19" s="188">
        <f>IF((G19-ROUNDDOWN(G19,0))&lt;0.5,ROUNDDOWN(G19,0)-0.5,ROUNDDOWN(G19,0)+0.5)</f>
        <v>2461051.5</v>
      </c>
      <c r="I19" s="188">
        <f>$AH$3*24</f>
        <v>10.5</v>
      </c>
      <c r="J19" s="188">
        <f>G19-2451545</f>
        <v>9506.9375</v>
      </c>
      <c r="K19" s="188">
        <f>G19-2451545</f>
        <v>9506.9375</v>
      </c>
      <c r="L19" s="188">
        <f>AVERAGE(H19-2451545)/36525</f>
        <v>0.26027378507871324</v>
      </c>
      <c r="M19" s="188">
        <f>6.697374558+(0.065707485828*K19)+(1.0027379093*I19)+(0.0854103*L19)+(0.000025862*L19*L19)</f>
        <v>641.92531546860243</v>
      </c>
      <c r="N19" s="188">
        <f>M19-24*(ROUNDDOWN(M19/24,0))</f>
        <v>17.925315468602435</v>
      </c>
      <c r="O19" s="188">
        <f>125.04-0.052954*J19</f>
        <v>-378.39036837499998</v>
      </c>
      <c r="P19" s="188">
        <f>280.47+0.98565*J19</f>
        <v>9650.9829468749995</v>
      </c>
      <c r="Q19" s="188">
        <f>23.4393-0.0000004*J19</f>
        <v>23.435497224999999</v>
      </c>
      <c r="R19" s="188">
        <f>-0.000319*SIN(RADIANS(O19))-0.000024*SIN((RADIANS(2*P19)))</f>
        <v>1.1668967270040724E-4</v>
      </c>
      <c r="S19" s="188">
        <f>N19+R19*COS(RADIANS(Q19))</f>
        <v>17.925422532357235</v>
      </c>
      <c r="T19" s="188">
        <f>S19-'Data Entry-V'!$F$9/15</f>
        <v>29.556533643468349</v>
      </c>
      <c r="U19" s="188">
        <f>IF(T19&lt;0,T19+24,IF(T19&gt;24,T19-24,T19))</f>
        <v>5.5565336434683488</v>
      </c>
      <c r="V19" s="188">
        <f>U19-B19</f>
        <v>-3.1304663565316506</v>
      </c>
      <c r="W19" s="188">
        <f>V19*15</f>
        <v>-46.956995347974761</v>
      </c>
      <c r="X19" s="188">
        <f>IF(W19&lt;0,W19+360,W19)</f>
        <v>313.04300465202522</v>
      </c>
      <c r="Y19" s="188">
        <f>-SIN(RADIANS(X19))</f>
        <v>0.73084160626044059</v>
      </c>
      <c r="Z19" s="188">
        <f>TAN(RADIANS(C19))*COS(RADIANS('Data Entry-V'!$F$8))-SIN(RADIANS('Data Entry-V'!$F$8))*COS(RADIANS(X19))</f>
        <v>-0.45870632520749527</v>
      </c>
      <c r="AA19" s="188">
        <f>DEGREES(ATAN2(Z19,Y19))</f>
        <v>122.11407661080048</v>
      </c>
      <c r="AB19" s="126">
        <f>IF(AA19&lt;0,AA19+360,AA19)</f>
        <v>122.11407661080048</v>
      </c>
      <c r="AC19" s="126">
        <f>DEGREES(ASIN((SIN(RADIANS('Data Entry-V'!$F$8))*SIN(RADIANS(C19)))+(COS(RADIANS('Data Entry-V'!$F$8))*COS(RADIANS(C19))*COS(RADIANS((U19-B19)*15)))))</f>
        <v>54.198924470680389</v>
      </c>
      <c r="AD19" s="188">
        <f>1/(COS((4*ATAN(1))/2-(AC19*(4*ATAN(1))/180)))</f>
        <v>1.2329652924950594</v>
      </c>
      <c r="AE19" s="188">
        <f>IF(AC19&gt;10,AD19-((AD19-1)*(0.0018161+(AD19-1)*(0.002875+(AD19-1)*0.0008083))),"")</f>
        <v>1.232375949957581</v>
      </c>
      <c r="AF19" s="95"/>
      <c r="AG19" s="95"/>
      <c r="AH19" s="87"/>
      <c r="AI19" s="87"/>
    </row>
    <row r="20" spans="1:35">
      <c r="A20" s="42" t="s">
        <v>89</v>
      </c>
      <c r="B20" s="187">
        <v>4.3947000000000003</v>
      </c>
      <c r="C20" s="187">
        <v>-3.7454999999999998</v>
      </c>
      <c r="D20" s="172">
        <v>5.18</v>
      </c>
      <c r="E20" s="172">
        <v>7.0000000000000007E-2</v>
      </c>
      <c r="F20" s="172">
        <v>0.08</v>
      </c>
      <c r="G20" s="188">
        <f>IF($AH$3&gt;0.5,($AH$2+2415019)+((((HOUR($AH$3)*60)+MINUTE($AH$3))/1440+DAY($AH$2))-0.5)-DAY($AH$2),($AH$2+2415019)+((((HOUR($AH$3)*60)+MINUTE($AH$3))/1440+DAY($AH$2))-1.5)-DAY($AH$2)+1)</f>
        <v>2461051.9375</v>
      </c>
      <c r="H20" s="188">
        <f>IF((G20-ROUNDDOWN(G20,0))&lt;0.5,ROUNDDOWN(G20,0)-0.5,ROUNDDOWN(G20,0)+0.5)</f>
        <v>2461051.5</v>
      </c>
      <c r="I20" s="188">
        <f>$AH$3*24</f>
        <v>10.5</v>
      </c>
      <c r="J20" s="188">
        <f>G20-2451545</f>
        <v>9506.9375</v>
      </c>
      <c r="K20" s="188">
        <f>G20-2451545</f>
        <v>9506.9375</v>
      </c>
      <c r="L20" s="188">
        <f>AVERAGE(H20-2451545)/36525</f>
        <v>0.26027378507871324</v>
      </c>
      <c r="M20" s="188">
        <f>6.697374558+(0.065707485828*K20)+(1.0027379093*I20)+(0.0854103*L20)+(0.000025862*L20*L20)</f>
        <v>641.92531546860243</v>
      </c>
      <c r="N20" s="188">
        <f>M20-24*(ROUNDDOWN(M20/24,0))</f>
        <v>17.925315468602435</v>
      </c>
      <c r="O20" s="188">
        <f>125.04-0.052954*J20</f>
        <v>-378.39036837499998</v>
      </c>
      <c r="P20" s="188">
        <f>280.47+0.98565*J20</f>
        <v>9650.9829468749995</v>
      </c>
      <c r="Q20" s="188">
        <f>23.4393-0.0000004*J20</f>
        <v>23.435497224999999</v>
      </c>
      <c r="R20" s="188">
        <f>-0.000319*SIN(RADIANS(O20))-0.000024*SIN((RADIANS(2*P20)))</f>
        <v>1.1668967270040724E-4</v>
      </c>
      <c r="S20" s="188">
        <f>N20+R20*COS(RADIANS(Q20))</f>
        <v>17.925422532357235</v>
      </c>
      <c r="T20" s="188">
        <f>S20-'Data Entry-V'!$F$9/15</f>
        <v>29.556533643468349</v>
      </c>
      <c r="U20" s="188">
        <f>IF(T20&lt;0,T20+24,IF(T20&gt;24,T20-24,T20))</f>
        <v>5.5565336434683488</v>
      </c>
      <c r="V20" s="188">
        <f>U20-B20</f>
        <v>1.1618336434683485</v>
      </c>
      <c r="W20" s="188">
        <f>V20*15</f>
        <v>17.427504652025227</v>
      </c>
      <c r="X20" s="188">
        <f>IF(W20&lt;0,W20+360,W20)</f>
        <v>17.427504652025227</v>
      </c>
      <c r="Y20" s="188">
        <f>-SIN(RADIANS(X20))</f>
        <v>-0.29949883773873809</v>
      </c>
      <c r="Z20" s="188">
        <f>TAN(RADIANS(C20))*COS(RADIANS('Data Entry-V'!$F$8))-SIN(RADIANS('Data Entry-V'!$F$8))*COS(RADIANS(X20))</f>
        <v>0.51957405901416231</v>
      </c>
      <c r="AA20" s="188">
        <f>DEGREES(ATAN2(Z20,Y20))</f>
        <v>-29.960501732758761</v>
      </c>
      <c r="AB20" s="126">
        <f>IF(AA20&lt;0,AA20+360,AA20)</f>
        <v>330.03949826724124</v>
      </c>
      <c r="AC20" s="126">
        <f>DEGREES(ASIN((SIN(RADIANS('Data Entry-V'!$F$8))*SIN(RADIANS(C20)))+(COS(RADIANS('Data Entry-V'!$F$8))*COS(RADIANS(C20))*COS(RADIANS((U20-B20)*15)))))</f>
        <v>53.242252447920414</v>
      </c>
      <c r="AD20" s="188">
        <f>1/(COS((4*ATAN(1))/2-(AC20*(4*ATAN(1))/180)))</f>
        <v>1.2481700271271614</v>
      </c>
      <c r="AE20" s="188">
        <f>IF(AC20&gt;10,AD20-((AD20-1)*(0.0018161+(AD20-1)*(0.002875+(AD20-1)*0.0008083))),"")</f>
        <v>1.2475299046302513</v>
      </c>
      <c r="AF20" s="87"/>
      <c r="AG20" s="87"/>
      <c r="AH20" s="87"/>
      <c r="AI20" s="87"/>
    </row>
    <row r="21" spans="1:35">
      <c r="A21" s="42" t="s">
        <v>90</v>
      </c>
      <c r="B21" s="187">
        <v>7.9977999999999998</v>
      </c>
      <c r="C21" s="187">
        <v>-18.3992</v>
      </c>
      <c r="D21" s="172">
        <v>4.6100000000000003</v>
      </c>
      <c r="E21" s="172">
        <v>7.0000000000000007E-2</v>
      </c>
      <c r="F21" s="172">
        <v>0.08</v>
      </c>
      <c r="G21" s="188">
        <f>IF($AH$3&gt;0.5,($AH$2+2415019)+((((HOUR($AH$3)*60)+MINUTE($AH$3))/1440+DAY($AH$2))-0.5)-DAY($AH$2),($AH$2+2415019)+((((HOUR($AH$3)*60)+MINUTE($AH$3))/1440+DAY($AH$2))-1.5)-DAY($AH$2)+1)</f>
        <v>2461051.9375</v>
      </c>
      <c r="H21" s="188">
        <f>IF((G21-ROUNDDOWN(G21,0))&lt;0.5,ROUNDDOWN(G21,0)-0.5,ROUNDDOWN(G21,0)+0.5)</f>
        <v>2461051.5</v>
      </c>
      <c r="I21" s="188">
        <f>$AH$3*24</f>
        <v>10.5</v>
      </c>
      <c r="J21" s="188">
        <f>G21-2451545</f>
        <v>9506.9375</v>
      </c>
      <c r="K21" s="188">
        <f>G21-2451545</f>
        <v>9506.9375</v>
      </c>
      <c r="L21" s="188">
        <f>AVERAGE(H21-2451545)/36525</f>
        <v>0.26027378507871324</v>
      </c>
      <c r="M21" s="188">
        <f>6.697374558+(0.065707485828*K21)+(1.0027379093*I21)+(0.0854103*L21)+(0.000025862*L21*L21)</f>
        <v>641.92531546860243</v>
      </c>
      <c r="N21" s="188">
        <f>M21-24*(ROUNDDOWN(M21/24,0))</f>
        <v>17.925315468602435</v>
      </c>
      <c r="O21" s="188">
        <f>125.04-0.052954*J21</f>
        <v>-378.39036837499998</v>
      </c>
      <c r="P21" s="188">
        <f>280.47+0.98565*J21</f>
        <v>9650.9829468749995</v>
      </c>
      <c r="Q21" s="188">
        <f>23.4393-0.0000004*J21</f>
        <v>23.435497224999999</v>
      </c>
      <c r="R21" s="188">
        <f>-0.000319*SIN(RADIANS(O21))-0.000024*SIN((RADIANS(2*P21)))</f>
        <v>1.1668967270040724E-4</v>
      </c>
      <c r="S21" s="188">
        <f>N21+R21*COS(RADIANS(Q21))</f>
        <v>17.925422532357235</v>
      </c>
      <c r="T21" s="188">
        <f>S21-'Data Entry-V'!$F$9/15</f>
        <v>29.556533643468349</v>
      </c>
      <c r="U21" s="188">
        <f>IF(T21&lt;0,T21+24,IF(T21&gt;24,T21-24,T21))</f>
        <v>5.5565336434683488</v>
      </c>
      <c r="V21" s="188">
        <f>U21-B21</f>
        <v>-2.441266356531651</v>
      </c>
      <c r="W21" s="188">
        <f>V21*15</f>
        <v>-36.618995347974767</v>
      </c>
      <c r="X21" s="188">
        <f>IF(W21&lt;0,W21+360,W21)</f>
        <v>323.38100465202524</v>
      </c>
      <c r="Y21" s="188">
        <f>-SIN(RADIANS(X21))</f>
        <v>0.59649100136746691</v>
      </c>
      <c r="Z21" s="188">
        <f>TAN(RADIANS(C21))*COS(RADIANS('Data Entry-V'!$F$8))-SIN(RADIANS('Data Entry-V'!$F$8))*COS(RADIANS(X21))</f>
        <v>0.21492250822891529</v>
      </c>
      <c r="AA21" s="188">
        <f>DEGREES(ATAN2(Z21,Y21))</f>
        <v>70.185330287707117</v>
      </c>
      <c r="AB21" s="126">
        <f>IF(AA21&lt;0,AA21+360,AA21)</f>
        <v>70.185330287707117</v>
      </c>
      <c r="AC21" s="126">
        <f>DEGREES(ASIN((SIN(RADIANS('Data Entry-V'!$F$8))*SIN(RADIANS(C21)))+(COS(RADIANS('Data Entry-V'!$F$8))*COS(RADIANS(C21))*COS(RADIANS((U21-B21)*15)))))</f>
        <v>53.014131949257617</v>
      </c>
      <c r="AD21" s="188">
        <f>1/(COS((4*ATAN(1))/2-(AC21*(4*ATAN(1))/180)))</f>
        <v>1.251903013305488</v>
      </c>
      <c r="AE21" s="188">
        <f>IF(AC21&gt;10,AD21-((AD21-1)*(0.0018161+(AD21-1)*(0.002875+(AD21-1)*0.0008083))),"")</f>
        <v>1.2512501784476506</v>
      </c>
      <c r="AF21" s="87"/>
      <c r="AG21" s="87"/>
      <c r="AH21" s="87"/>
      <c r="AI21" s="87"/>
    </row>
    <row r="22" spans="1:35">
      <c r="A22" s="42" t="s">
        <v>91</v>
      </c>
      <c r="B22" s="187">
        <v>5.9804000000000004</v>
      </c>
      <c r="C22" s="187">
        <v>0.55300000000000005</v>
      </c>
      <c r="D22" s="172">
        <v>5.21</v>
      </c>
      <c r="E22" s="172">
        <v>0</v>
      </c>
      <c r="F22" s="172">
        <v>0.01</v>
      </c>
      <c r="G22" s="188">
        <f>IF($AH$3&gt;0.5,($AH$2+2415019)+((((HOUR($AH$3)*60)+MINUTE($AH$3))/1440+DAY($AH$2))-0.5)-DAY($AH$2),($AH$2+2415019)+((((HOUR($AH$3)*60)+MINUTE($AH$3))/1440+DAY($AH$2))-1.5)-DAY($AH$2)+1)</f>
        <v>2461051.9375</v>
      </c>
      <c r="H22" s="188">
        <f>IF((G22-ROUNDDOWN(G22,0))&lt;0.5,ROUNDDOWN(G22,0)-0.5,ROUNDDOWN(G22,0)+0.5)</f>
        <v>2461051.5</v>
      </c>
      <c r="I22" s="188">
        <f>$AH$3*24</f>
        <v>10.5</v>
      </c>
      <c r="J22" s="188">
        <f>G22-2451545</f>
        <v>9506.9375</v>
      </c>
      <c r="K22" s="188">
        <f>G22-2451545</f>
        <v>9506.9375</v>
      </c>
      <c r="L22" s="188">
        <f>AVERAGE(H22-2451545)/36525</f>
        <v>0.26027378507871324</v>
      </c>
      <c r="M22" s="188">
        <f>6.697374558+(0.065707485828*K22)+(1.0027379093*I22)+(0.0854103*L22)+(0.000025862*L22*L22)</f>
        <v>641.92531546860243</v>
      </c>
      <c r="N22" s="188">
        <f>M22-24*(ROUNDDOWN(M22/24,0))</f>
        <v>17.925315468602435</v>
      </c>
      <c r="O22" s="188">
        <f>125.04-0.052954*J22</f>
        <v>-378.39036837499998</v>
      </c>
      <c r="P22" s="188">
        <f>280.47+0.98565*J22</f>
        <v>9650.9829468749995</v>
      </c>
      <c r="Q22" s="188">
        <f>23.4393-0.0000004*J22</f>
        <v>23.435497224999999</v>
      </c>
      <c r="R22" s="188">
        <f>-0.000319*SIN(RADIANS(O22))-0.000024*SIN((RADIANS(2*P22)))</f>
        <v>1.1668967270040724E-4</v>
      </c>
      <c r="S22" s="188">
        <f>N22+R22*COS(RADIANS(Q22))</f>
        <v>17.925422532357235</v>
      </c>
      <c r="T22" s="188">
        <f>S22-'Data Entry-V'!$F$9/15</f>
        <v>29.556533643468349</v>
      </c>
      <c r="U22" s="188">
        <f>IF(T22&lt;0,T22+24,IF(T22&gt;24,T22-24,T22))</f>
        <v>5.5565336434683488</v>
      </c>
      <c r="V22" s="188">
        <f>U22-B22</f>
        <v>-0.42386635653165161</v>
      </c>
      <c r="W22" s="188">
        <f>V22*15</f>
        <v>-6.3579953479747742</v>
      </c>
      <c r="X22" s="188">
        <f>IF(W22&lt;0,W22+360,W22)</f>
        <v>353.64200465202521</v>
      </c>
      <c r="Y22" s="188">
        <f>-SIN(RADIANS(X22))</f>
        <v>0.11074035169717328</v>
      </c>
      <c r="Z22" s="188">
        <f>TAN(RADIANS(C22))*COS(RADIANS('Data Entry-V'!$F$8))-SIN(RADIANS('Data Entry-V'!$F$8))*COS(RADIANS(X22))</f>
        <v>0.6035273784371562</v>
      </c>
      <c r="AA22" s="188">
        <f>DEGREES(ATAN2(Z22,Y22))</f>
        <v>10.397460557138979</v>
      </c>
      <c r="AB22" s="126">
        <f>IF(AA22&lt;0,AA22+360,AA22)</f>
        <v>10.397460557138979</v>
      </c>
      <c r="AC22" s="126">
        <f>DEGREES(ASIN((SIN(RADIANS('Data Entry-V'!$F$8))*SIN(RADIANS(C22)))+(COS(RADIANS('Data Entry-V'!$F$8))*COS(RADIANS(C22))*COS(RADIANS((U22-B22)*15)))))</f>
        <v>52.151587244544849</v>
      </c>
      <c r="AD22" s="188">
        <f>1/(COS((4*ATAN(1))/2-(AC22*(4*ATAN(1))/180)))</f>
        <v>1.2664049347943587</v>
      </c>
      <c r="AE22" s="188">
        <f>IF(AC22&gt;10,AD22-((AD22-1)*(0.0018161+(AD22-1)*(0.002875+(AD22-1)*0.0008083))),"")</f>
        <v>1.2657017907981911</v>
      </c>
      <c r="AF22" s="87"/>
      <c r="AG22" s="87"/>
      <c r="AH22" s="87"/>
      <c r="AI22" s="87"/>
    </row>
    <row r="23" spans="1:35">
      <c r="A23" s="42" t="s">
        <v>92</v>
      </c>
      <c r="B23" s="187">
        <v>2.7591000000000001</v>
      </c>
      <c r="C23" s="187">
        <v>-66.383399999999995</v>
      </c>
      <c r="D23" s="172">
        <v>4.83</v>
      </c>
      <c r="E23" s="172">
        <v>0.05</v>
      </c>
      <c r="F23" s="172">
        <v>0.08</v>
      </c>
      <c r="G23" s="188">
        <f>IF($AH$3&gt;0.5,($AH$2+2415019)+((((HOUR($AH$3)*60)+MINUTE($AH$3))/1440+DAY($AH$2))-0.5)-DAY($AH$2),($AH$2+2415019)+((((HOUR($AH$3)*60)+MINUTE($AH$3))/1440+DAY($AH$2))-1.5)-DAY($AH$2)+1)</f>
        <v>2461051.9375</v>
      </c>
      <c r="H23" s="188">
        <f>IF((G23-ROUNDDOWN(G23,0))&lt;0.5,ROUNDDOWN(G23,0)-0.5,ROUNDDOWN(G23,0)+0.5)</f>
        <v>2461051.5</v>
      </c>
      <c r="I23" s="188">
        <f>$AH$3*24</f>
        <v>10.5</v>
      </c>
      <c r="J23" s="188">
        <f>G23-2451545</f>
        <v>9506.9375</v>
      </c>
      <c r="K23" s="188">
        <f>G23-2451545</f>
        <v>9506.9375</v>
      </c>
      <c r="L23" s="188">
        <f>AVERAGE(H23-2451545)/36525</f>
        <v>0.26027378507871324</v>
      </c>
      <c r="M23" s="188">
        <f>6.697374558+(0.065707485828*K23)+(1.0027379093*I23)+(0.0854103*L23)+(0.000025862*L23*L23)</f>
        <v>641.92531546860243</v>
      </c>
      <c r="N23" s="188">
        <f>M23-24*(ROUNDDOWN(M23/24,0))</f>
        <v>17.925315468602435</v>
      </c>
      <c r="O23" s="188">
        <f>125.04-0.052954*J23</f>
        <v>-378.39036837499998</v>
      </c>
      <c r="P23" s="188">
        <f>280.47+0.98565*J23</f>
        <v>9650.9829468749995</v>
      </c>
      <c r="Q23" s="188">
        <f>23.4393-0.0000004*J23</f>
        <v>23.435497224999999</v>
      </c>
      <c r="R23" s="188">
        <f>-0.000319*SIN(RADIANS(O23))-0.000024*SIN((RADIANS(2*P23)))</f>
        <v>1.1668967270040724E-4</v>
      </c>
      <c r="S23" s="188">
        <f>N23+R23*COS(RADIANS(Q23))</f>
        <v>17.925422532357235</v>
      </c>
      <c r="T23" s="188">
        <f>S23-'Data Entry-V'!$F$9/15</f>
        <v>29.556533643468349</v>
      </c>
      <c r="U23" s="188">
        <f>IF(T23&lt;0,T23+24,IF(T23&gt;24,T23-24,T23))</f>
        <v>5.5565336434683488</v>
      </c>
      <c r="V23" s="188">
        <f>U23-B23</f>
        <v>2.7974336434683487</v>
      </c>
      <c r="W23" s="188">
        <f>V23*15</f>
        <v>41.961504652025226</v>
      </c>
      <c r="X23" s="188">
        <f>IF(W23&lt;0,W23+360,W23)</f>
        <v>41.961504652025226</v>
      </c>
      <c r="Y23" s="188">
        <f>-SIN(RADIANS(X23))</f>
        <v>-0.66863115823364505</v>
      </c>
      <c r="Z23" s="188">
        <f>TAN(RADIANS(C23))*COS(RADIANS('Data Entry-V'!$F$8))-SIN(RADIANS('Data Entry-V'!$F$8))*COS(RADIANS(X23))</f>
        <v>-1.3847810564325425</v>
      </c>
      <c r="AA23" s="188">
        <f>DEGREES(ATAN2(Z23,Y23))</f>
        <v>-154.22677455763721</v>
      </c>
      <c r="AB23" s="126">
        <f>IF(AA23&lt;0,AA23+360,AA23)</f>
        <v>205.77322544236279</v>
      </c>
      <c r="AC23" s="126">
        <f>DEGREES(ASIN((SIN(RADIANS('Data Entry-V'!$F$8))*SIN(RADIANS(C23)))+(COS(RADIANS('Data Entry-V'!$F$8))*COS(RADIANS(C23))*COS(RADIANS((U23-B23)*15)))))</f>
        <v>51.972006188764446</v>
      </c>
      <c r="AD23" s="188">
        <f>1/(COS((4*ATAN(1))/2-(AC23*(4*ATAN(1))/180)))</f>
        <v>1.2695029660666786</v>
      </c>
      <c r="AE23" s="188">
        <f>IF(AC23&gt;10,AD23-((AD23-1)*(0.0018161+(AD23-1)*(0.002875+(AD23-1)*0.0008083))),"")</f>
        <v>1.2687888830976712</v>
      </c>
      <c r="AF23" s="87"/>
      <c r="AG23" s="87"/>
      <c r="AH23" s="87"/>
      <c r="AI23" s="87"/>
    </row>
    <row r="24" spans="1:35">
      <c r="A24" s="42" t="s">
        <v>93</v>
      </c>
      <c r="B24" s="187">
        <v>5.2781000000000002</v>
      </c>
      <c r="C24" s="187">
        <v>1.9473</v>
      </c>
      <c r="D24" s="172">
        <v>6.42</v>
      </c>
      <c r="E24" s="172">
        <v>-0.02</v>
      </c>
      <c r="F24" s="172">
        <v>0.02</v>
      </c>
      <c r="G24" s="188">
        <f>IF($AH$3&gt;0.5,($AH$2+2415019)+((((HOUR($AH$3)*60)+MINUTE($AH$3))/1440+DAY($AH$2))-0.5)-DAY($AH$2),($AH$2+2415019)+((((HOUR($AH$3)*60)+MINUTE($AH$3))/1440+DAY($AH$2))-1.5)-DAY($AH$2)+1)</f>
        <v>2461051.9375</v>
      </c>
      <c r="H24" s="188">
        <f>IF((G24-ROUNDDOWN(G24,0))&lt;0.5,ROUNDDOWN(G24,0)-0.5,ROUNDDOWN(G24,0)+0.5)</f>
        <v>2461051.5</v>
      </c>
      <c r="I24" s="188">
        <f>$AH$3*24</f>
        <v>10.5</v>
      </c>
      <c r="J24" s="188">
        <f>G24-2451545</f>
        <v>9506.9375</v>
      </c>
      <c r="K24" s="188">
        <f>G24-2451545</f>
        <v>9506.9375</v>
      </c>
      <c r="L24" s="188">
        <f>AVERAGE(H24-2451545)/36525</f>
        <v>0.26027378507871324</v>
      </c>
      <c r="M24" s="188">
        <f>6.697374558+(0.065707485828*K24)+(1.0027379093*I24)+(0.0854103*L24)+(0.000025862*L24*L24)</f>
        <v>641.92531546860243</v>
      </c>
      <c r="N24" s="188">
        <f>M24-24*(ROUNDDOWN(M24/24,0))</f>
        <v>17.925315468602435</v>
      </c>
      <c r="O24" s="188">
        <f>125.04-0.052954*J24</f>
        <v>-378.39036837499998</v>
      </c>
      <c r="P24" s="188">
        <f>280.47+0.98565*J24</f>
        <v>9650.9829468749995</v>
      </c>
      <c r="Q24" s="188">
        <f>23.4393-0.0000004*J24</f>
        <v>23.435497224999999</v>
      </c>
      <c r="R24" s="188">
        <f>-0.000319*SIN(RADIANS(O24))-0.000024*SIN((RADIANS(2*P24)))</f>
        <v>1.1668967270040724E-4</v>
      </c>
      <c r="S24" s="188">
        <f>N24+R24*COS(RADIANS(Q24))</f>
        <v>17.925422532357235</v>
      </c>
      <c r="T24" s="188">
        <f>S24-'Data Entry-V'!$F$9/15</f>
        <v>29.556533643468349</v>
      </c>
      <c r="U24" s="188">
        <f>IF(T24&lt;0,T24+24,IF(T24&gt;24,T24-24,T24))</f>
        <v>5.5565336434683488</v>
      </c>
      <c r="V24" s="188">
        <f>U24-B24</f>
        <v>0.27843364346834854</v>
      </c>
      <c r="W24" s="188">
        <f>V24*15</f>
        <v>4.176504652025228</v>
      </c>
      <c r="X24" s="188">
        <f>IF(W24&lt;0,W24+360,W24)</f>
        <v>4.176504652025228</v>
      </c>
      <c r="Y24" s="188">
        <f>-SIN(RADIANS(X24))</f>
        <v>-7.2829221055720456E-2</v>
      </c>
      <c r="Z24" s="188">
        <f>TAN(RADIANS(C24))*COS(RADIANS('Data Entry-V'!$F$8))-SIN(RADIANS('Data Entry-V'!$F$8))*COS(RADIANS(X24))</f>
        <v>0.62511027953262455</v>
      </c>
      <c r="AA24" s="188">
        <f>DEGREES(ATAN2(Z24,Y24))</f>
        <v>-6.6453540784009348</v>
      </c>
      <c r="AB24" s="126">
        <f>IF(AA24&lt;0,AA24+360,AA24)</f>
        <v>353.35464592159906</v>
      </c>
      <c r="AC24" s="126">
        <f>DEGREES(ASIN((SIN(RADIANS('Data Entry-V'!$F$8))*SIN(RADIANS(C24)))+(COS(RADIANS('Data Entry-V'!$F$8))*COS(RADIANS(C24))*COS(RADIANS((U24-B24)*15)))))</f>
        <v>51.025454724277928</v>
      </c>
      <c r="AD24" s="188">
        <f>1/(COS((4*ATAN(1))/2-(AC24*(4*ATAN(1))/180)))</f>
        <v>1.2862969324280276</v>
      </c>
      <c r="AE24" s="188">
        <f>IF(AC24&gt;10,AD24-((AD24-1)*(0.0018161+(AD24-1)*(0.002875+(AD24-1)*0.0008083))),"")</f>
        <v>1.2855223684611767</v>
      </c>
      <c r="AF24" s="87"/>
      <c r="AG24" s="87"/>
      <c r="AH24" s="87"/>
      <c r="AI24" s="87"/>
    </row>
    <row r="25" spans="1:35">
      <c r="A25" s="42" t="s">
        <v>94</v>
      </c>
      <c r="B25" s="187">
        <v>2.6998000000000002</v>
      </c>
      <c r="C25" s="187">
        <v>-68.266900000000007</v>
      </c>
      <c r="D25" s="172">
        <v>4.1100000000000003</v>
      </c>
      <c r="E25" s="172">
        <v>-0.06</v>
      </c>
      <c r="F25" s="172">
        <v>-0.13</v>
      </c>
      <c r="G25" s="188">
        <f>IF($AH$3&gt;0.5,($AH$2+2415019)+((((HOUR($AH$3)*60)+MINUTE($AH$3))/1440+DAY($AH$2))-0.5)-DAY($AH$2),($AH$2+2415019)+((((HOUR($AH$3)*60)+MINUTE($AH$3))/1440+DAY($AH$2))-1.5)-DAY($AH$2)+1)</f>
        <v>2461051.9375</v>
      </c>
      <c r="H25" s="188">
        <f>IF((G25-ROUNDDOWN(G25,0))&lt;0.5,ROUNDDOWN(G25,0)-0.5,ROUNDDOWN(G25,0)+0.5)</f>
        <v>2461051.5</v>
      </c>
      <c r="I25" s="188">
        <f>$AH$3*24</f>
        <v>10.5</v>
      </c>
      <c r="J25" s="188">
        <f>G25-2451545</f>
        <v>9506.9375</v>
      </c>
      <c r="K25" s="188">
        <f>G25-2451545</f>
        <v>9506.9375</v>
      </c>
      <c r="L25" s="188">
        <f>AVERAGE(H25-2451545)/36525</f>
        <v>0.26027378507871324</v>
      </c>
      <c r="M25" s="188">
        <f>6.697374558+(0.065707485828*K25)+(1.0027379093*I25)+(0.0854103*L25)+(0.000025862*L25*L25)</f>
        <v>641.92531546860243</v>
      </c>
      <c r="N25" s="188">
        <f>M25-24*(ROUNDDOWN(M25/24,0))</f>
        <v>17.925315468602435</v>
      </c>
      <c r="O25" s="188">
        <f>125.04-0.052954*J25</f>
        <v>-378.39036837499998</v>
      </c>
      <c r="P25" s="188">
        <f>280.47+0.98565*J25</f>
        <v>9650.9829468749995</v>
      </c>
      <c r="Q25" s="188">
        <f>23.4393-0.0000004*J25</f>
        <v>23.435497224999999</v>
      </c>
      <c r="R25" s="188">
        <f>-0.000319*SIN(RADIANS(O25))-0.000024*SIN((RADIANS(2*P25)))</f>
        <v>1.1668967270040724E-4</v>
      </c>
      <c r="S25" s="188">
        <f>N25+R25*COS(RADIANS(Q25))</f>
        <v>17.925422532357235</v>
      </c>
      <c r="T25" s="188">
        <f>S25-'Data Entry-V'!$F$9/15</f>
        <v>29.556533643468349</v>
      </c>
      <c r="U25" s="188">
        <f>IF(T25&lt;0,T25+24,IF(T25&gt;24,T25-24,T25))</f>
        <v>5.5565336434683488</v>
      </c>
      <c r="V25" s="188">
        <f>U25-B25</f>
        <v>2.8567336434683486</v>
      </c>
      <c r="W25" s="188">
        <f>V25*15</f>
        <v>42.851004652025232</v>
      </c>
      <c r="X25" s="188">
        <f>IF(W25&lt;0,W25+360,W25)</f>
        <v>42.851004652025232</v>
      </c>
      <c r="Y25" s="188">
        <f>-SIN(RADIANS(X25))</f>
        <v>-0.68009420063571091</v>
      </c>
      <c r="Z25" s="188">
        <f>TAN(RADIANS(C25))*COS(RADIANS('Data Entry-V'!$F$8))-SIN(RADIANS('Data Entry-V'!$F$8))*COS(RADIANS(X25))</f>
        <v>-1.568395278346558</v>
      </c>
      <c r="AA25" s="188">
        <f>DEGREES(ATAN2(Z25,Y25))</f>
        <v>-156.55727629104743</v>
      </c>
      <c r="AB25" s="126">
        <f>IF(AA25&lt;0,AA25+360,AA25)</f>
        <v>203.44272370895257</v>
      </c>
      <c r="AC25" s="126">
        <f>DEGREES(ASIN((SIN(RADIANS('Data Entry-V'!$F$8))*SIN(RADIANS(C25)))+(COS(RADIANS('Data Entry-V'!$F$8))*COS(RADIANS(C25))*COS(RADIANS((U25-B25)*15)))))</f>
        <v>50.72821303479467</v>
      </c>
      <c r="AD25" s="188">
        <f>1/(COS((4*ATAN(1))/2-(AC25*(4*ATAN(1))/180)))</f>
        <v>1.2917359911749757</v>
      </c>
      <c r="AE25" s="188">
        <f>IF(AC25&gt;10,AD25-((AD25-1)*(0.0018161+(AD25-1)*(0.002875+(AD25-1)*0.0008083))),"")</f>
        <v>1.2909414087318487</v>
      </c>
      <c r="AF25" s="87"/>
      <c r="AG25" s="87"/>
      <c r="AH25" s="87"/>
      <c r="AI25" s="87"/>
    </row>
    <row r="26" spans="1:35">
      <c r="A26" s="42" t="s">
        <v>95</v>
      </c>
      <c r="B26" s="187">
        <v>6.1494</v>
      </c>
      <c r="C26" s="187">
        <v>2.4996999999999998</v>
      </c>
      <c r="D26" s="172">
        <v>5.73</v>
      </c>
      <c r="E26" s="172">
        <v>0.06</v>
      </c>
      <c r="F26" s="172">
        <v>0.04</v>
      </c>
      <c r="G26" s="188">
        <f>IF($AH$3&gt;0.5,($AH$2+2415019)+((((HOUR($AH$3)*60)+MINUTE($AH$3))/1440+DAY($AH$2))-0.5)-DAY($AH$2),($AH$2+2415019)+((((HOUR($AH$3)*60)+MINUTE($AH$3))/1440+DAY($AH$2))-1.5)-DAY($AH$2)+1)</f>
        <v>2461051.9375</v>
      </c>
      <c r="H26" s="188">
        <f>IF((G26-ROUNDDOWN(G26,0))&lt;0.5,ROUNDDOWN(G26,0)-0.5,ROUNDDOWN(G26,0)+0.5)</f>
        <v>2461051.5</v>
      </c>
      <c r="I26" s="188">
        <f>$AH$3*24</f>
        <v>10.5</v>
      </c>
      <c r="J26" s="188">
        <f>G26-2451545</f>
        <v>9506.9375</v>
      </c>
      <c r="K26" s="188">
        <f>G26-2451545</f>
        <v>9506.9375</v>
      </c>
      <c r="L26" s="188">
        <f>AVERAGE(H26-2451545)/36525</f>
        <v>0.26027378507871324</v>
      </c>
      <c r="M26" s="188">
        <f>6.697374558+(0.065707485828*K26)+(1.0027379093*I26)+(0.0854103*L26)+(0.000025862*L26*L26)</f>
        <v>641.92531546860243</v>
      </c>
      <c r="N26" s="188">
        <f>M26-24*(ROUNDDOWN(M26/24,0))</f>
        <v>17.925315468602435</v>
      </c>
      <c r="O26" s="188">
        <f>125.04-0.052954*J26</f>
        <v>-378.39036837499998</v>
      </c>
      <c r="P26" s="188">
        <f>280.47+0.98565*J26</f>
        <v>9650.9829468749995</v>
      </c>
      <c r="Q26" s="188">
        <f>23.4393-0.0000004*J26</f>
        <v>23.435497224999999</v>
      </c>
      <c r="R26" s="188">
        <f>-0.000319*SIN(RADIANS(O26))-0.000024*SIN((RADIANS(2*P26)))</f>
        <v>1.1668967270040724E-4</v>
      </c>
      <c r="S26" s="188">
        <f>N26+R26*COS(RADIANS(Q26))</f>
        <v>17.925422532357235</v>
      </c>
      <c r="T26" s="188">
        <f>S26-'Data Entry-V'!$F$9/15</f>
        <v>29.556533643468349</v>
      </c>
      <c r="U26" s="188">
        <f>IF(T26&lt;0,T26+24,IF(T26&gt;24,T26-24,T26))</f>
        <v>5.5565336434683488</v>
      </c>
      <c r="V26" s="188">
        <f>U26-B26</f>
        <v>-0.59286635653165121</v>
      </c>
      <c r="W26" s="188">
        <f>V26*15</f>
        <v>-8.8929953479747681</v>
      </c>
      <c r="X26" s="188">
        <f>IF(W26&lt;0,W26+360,W26)</f>
        <v>351.10700465202524</v>
      </c>
      <c r="Y26" s="188">
        <f>-SIN(RADIANS(X26))</f>
        <v>0.15458960286028289</v>
      </c>
      <c r="Z26" s="188">
        <f>TAN(RADIANS(C26))*COS(RADIANS('Data Entry-V'!$F$8))-SIN(RADIANS('Data Entry-V'!$F$8))*COS(RADIANS(X26))</f>
        <v>0.62722401212267387</v>
      </c>
      <c r="AA26" s="188">
        <f>DEGREES(ATAN2(Z26,Y26))</f>
        <v>13.845531111098621</v>
      </c>
      <c r="AB26" s="126">
        <f>IF(AA26&lt;0,AA26+360,AA26)</f>
        <v>13.845531111098621</v>
      </c>
      <c r="AC26" s="126">
        <f>DEGREES(ASIN((SIN(RADIANS('Data Entry-V'!$F$8))*SIN(RADIANS(C26)))+(COS(RADIANS('Data Entry-V'!$F$8))*COS(RADIANS(C26))*COS(RADIANS((U26-B26)*15)))))</f>
        <v>49.805899430548685</v>
      </c>
      <c r="AD26" s="188">
        <f>1/(COS((4*ATAN(1))/2-(AC26*(4*ATAN(1))/180)))</f>
        <v>1.3091361615484496</v>
      </c>
      <c r="AE26" s="188">
        <f>IF(AC26&gt;10,AD26-((AD26-1)*(0.0018161+(AD26-1)*(0.002875+(AD26-1)*0.0008083))),"")</f>
        <v>1.3082761101891742</v>
      </c>
      <c r="AF26" s="87"/>
      <c r="AG26" s="87"/>
      <c r="AH26" s="87"/>
      <c r="AI26" s="87"/>
    </row>
    <row r="27" spans="1:35">
      <c r="A27" s="42" t="s">
        <v>96</v>
      </c>
      <c r="B27" s="187">
        <v>5.5712999999999999</v>
      </c>
      <c r="C27" s="187">
        <v>3.7667999999999999</v>
      </c>
      <c r="D27" s="172">
        <v>5.35</v>
      </c>
      <c r="E27" s="172">
        <v>0.04</v>
      </c>
      <c r="F27" s="172">
        <v>0.06</v>
      </c>
      <c r="G27" s="188">
        <f>IF($AH$3&gt;0.5,($AH$2+2415019)+((((HOUR($AH$3)*60)+MINUTE($AH$3))/1440+DAY($AH$2))-0.5)-DAY($AH$2),($AH$2+2415019)+((((HOUR($AH$3)*60)+MINUTE($AH$3))/1440+DAY($AH$2))-1.5)-DAY($AH$2)+1)</f>
        <v>2461051.9375</v>
      </c>
      <c r="H27" s="188">
        <f>IF((G27-ROUNDDOWN(G27,0))&lt;0.5,ROUNDDOWN(G27,0)-0.5,ROUNDDOWN(G27,0)+0.5)</f>
        <v>2461051.5</v>
      </c>
      <c r="I27" s="188">
        <f>$AH$3*24</f>
        <v>10.5</v>
      </c>
      <c r="J27" s="188">
        <f>G27-2451545</f>
        <v>9506.9375</v>
      </c>
      <c r="K27" s="188">
        <f>G27-2451545</f>
        <v>9506.9375</v>
      </c>
      <c r="L27" s="188">
        <f>AVERAGE(H27-2451545)/36525</f>
        <v>0.26027378507871324</v>
      </c>
      <c r="M27" s="188">
        <f>6.697374558+(0.065707485828*K27)+(1.0027379093*I27)+(0.0854103*L27)+(0.000025862*L27*L27)</f>
        <v>641.92531546860243</v>
      </c>
      <c r="N27" s="188">
        <f>M27-24*(ROUNDDOWN(M27/24,0))</f>
        <v>17.925315468602435</v>
      </c>
      <c r="O27" s="188">
        <f>125.04-0.052954*J27</f>
        <v>-378.39036837499998</v>
      </c>
      <c r="P27" s="188">
        <f>280.47+0.98565*J27</f>
        <v>9650.9829468749995</v>
      </c>
      <c r="Q27" s="188">
        <f>23.4393-0.0000004*J27</f>
        <v>23.435497224999999</v>
      </c>
      <c r="R27" s="188">
        <f>-0.000319*SIN(RADIANS(O27))-0.000024*SIN((RADIANS(2*P27)))</f>
        <v>1.1668967270040724E-4</v>
      </c>
      <c r="S27" s="188">
        <f>N27+R27*COS(RADIANS(Q27))</f>
        <v>17.925422532357235</v>
      </c>
      <c r="T27" s="188">
        <f>S27-'Data Entry-V'!$F$9/15</f>
        <v>29.556533643468349</v>
      </c>
      <c r="U27" s="188">
        <f>IF(T27&lt;0,T27+24,IF(T27&gt;24,T27-24,T27))</f>
        <v>5.5565336434683488</v>
      </c>
      <c r="V27" s="188">
        <f>U27-B27</f>
        <v>-1.4766356531651148E-2</v>
      </c>
      <c r="W27" s="188">
        <f>V27*15</f>
        <v>-0.22149534797476722</v>
      </c>
      <c r="X27" s="188">
        <f>IF(W27&lt;0,W27+360,W27)</f>
        <v>359.77850465202522</v>
      </c>
      <c r="Y27" s="188">
        <f>-SIN(RADIANS(X27))</f>
        <v>3.8658134711623011E-3</v>
      </c>
      <c r="Z27" s="188">
        <f>TAN(RADIANS(C27))*COS(RADIANS('Data Entry-V'!$F$8))-SIN(RADIANS('Data Entry-V'!$F$8))*COS(RADIANS(X27))</f>
        <v>0.65218041759624124</v>
      </c>
      <c r="AA27" s="188">
        <f>DEGREES(ATAN2(Z27,Y27))</f>
        <v>0.33961798951656935</v>
      </c>
      <c r="AB27" s="126">
        <f>IF(AA27&lt;0,AA27+360,AA27)</f>
        <v>0.33961798951656935</v>
      </c>
      <c r="AC27" s="126">
        <f>DEGREES(ASIN((SIN(RADIANS('Data Entry-V'!$F$8))*SIN(RADIANS(C27)))+(COS(RADIANS('Data Entry-V'!$F$8))*COS(RADIANS(C27))*COS(RADIANS((U27-B27)*15)))))</f>
        <v>49.399341253802035</v>
      </c>
      <c r="AD27" s="188">
        <f>1/(COS((4*ATAN(1))/2-(AC27*(4*ATAN(1))/180)))</f>
        <v>1.3170652504211815</v>
      </c>
      <c r="AE27" s="188">
        <f>IF(AC27&gt;10,AD27-((AD27-1)*(0.0018161+(AD27-1)*(0.002875+(AD27-1)*0.0008083))),"")</f>
        <v>1.3161746390872178</v>
      </c>
      <c r="AF27" s="87"/>
      <c r="AG27" s="87"/>
      <c r="AH27" s="87"/>
      <c r="AI27" s="87"/>
    </row>
    <row r="28" spans="1:35">
      <c r="A28" s="42" t="s">
        <v>97</v>
      </c>
      <c r="B28" s="187">
        <v>2.3624999999999998</v>
      </c>
      <c r="C28" s="187">
        <v>-68.659400000000005</v>
      </c>
      <c r="D28" s="172">
        <v>4.08</v>
      </c>
      <c r="E28" s="172">
        <v>0.03</v>
      </c>
      <c r="F28" s="172">
        <v>0.05</v>
      </c>
      <c r="G28" s="188">
        <f>IF($AH$3&gt;0.5,($AH$2+2415019)+((((HOUR($AH$3)*60)+MINUTE($AH$3))/1440+DAY($AH$2))-0.5)-DAY($AH$2),($AH$2+2415019)+((((HOUR($AH$3)*60)+MINUTE($AH$3))/1440+DAY($AH$2))-1.5)-DAY($AH$2)+1)</f>
        <v>2461051.9375</v>
      </c>
      <c r="H28" s="188">
        <f>IF((G28-ROUNDDOWN(G28,0))&lt;0.5,ROUNDDOWN(G28,0)-0.5,ROUNDDOWN(G28,0)+0.5)</f>
        <v>2461051.5</v>
      </c>
      <c r="I28" s="188">
        <f>$AH$3*24</f>
        <v>10.5</v>
      </c>
      <c r="J28" s="188">
        <f>G28-2451545</f>
        <v>9506.9375</v>
      </c>
      <c r="K28" s="188">
        <f>G28-2451545</f>
        <v>9506.9375</v>
      </c>
      <c r="L28" s="188">
        <f>AVERAGE(H28-2451545)/36525</f>
        <v>0.26027378507871324</v>
      </c>
      <c r="M28" s="188">
        <f>6.697374558+(0.065707485828*K28)+(1.0027379093*I28)+(0.0854103*L28)+(0.000025862*L28*L28)</f>
        <v>641.92531546860243</v>
      </c>
      <c r="N28" s="188">
        <f>M28-24*(ROUNDDOWN(M28/24,0))</f>
        <v>17.925315468602435</v>
      </c>
      <c r="O28" s="188">
        <f>125.04-0.052954*J28</f>
        <v>-378.39036837499998</v>
      </c>
      <c r="P28" s="188">
        <f>280.47+0.98565*J28</f>
        <v>9650.9829468749995</v>
      </c>
      <c r="Q28" s="188">
        <f>23.4393-0.0000004*J28</f>
        <v>23.435497224999999</v>
      </c>
      <c r="R28" s="188">
        <f>-0.000319*SIN(RADIANS(O28))-0.000024*SIN((RADIANS(2*P28)))</f>
        <v>1.1668967270040724E-4</v>
      </c>
      <c r="S28" s="188">
        <f>N28+R28*COS(RADIANS(Q28))</f>
        <v>17.925422532357235</v>
      </c>
      <c r="T28" s="188">
        <f>S28-'Data Entry-V'!$F$9/15</f>
        <v>29.556533643468349</v>
      </c>
      <c r="U28" s="188">
        <f>IF(T28&lt;0,T28+24,IF(T28&gt;24,T28-24,T28))</f>
        <v>5.5565336434683488</v>
      </c>
      <c r="V28" s="188">
        <f>U28-B28</f>
        <v>3.1940336434683489</v>
      </c>
      <c r="W28" s="188">
        <f>V28*15</f>
        <v>47.910504652025232</v>
      </c>
      <c r="X28" s="188">
        <f>IF(W28&lt;0,W28+360,W28)</f>
        <v>47.910504652025232</v>
      </c>
      <c r="Y28" s="188">
        <f>-SIN(RADIANS(X28))</f>
        <v>-0.7420987450335399</v>
      </c>
      <c r="Z28" s="188">
        <f>TAN(RADIANS(C28))*COS(RADIANS('Data Entry-V'!$F$8))-SIN(RADIANS('Data Entry-V'!$F$8))*COS(RADIANS(X28))</f>
        <v>-1.6467531041383543</v>
      </c>
      <c r="AA28" s="188">
        <f>DEGREES(ATAN2(Z28,Y28))</f>
        <v>-155.74159638105064</v>
      </c>
      <c r="AB28" s="126">
        <f>IF(AA28&lt;0,AA28+360,AA28)</f>
        <v>204.25840361894936</v>
      </c>
      <c r="AC28" s="126">
        <f>DEGREES(ASIN((SIN(RADIANS('Data Entry-V'!$F$8))*SIN(RADIANS(C28)))+(COS(RADIANS('Data Entry-V'!$F$8))*COS(RADIANS(C28))*COS(RADIANS((U28-B28)*15)))))</f>
        <v>48.9048421180226</v>
      </c>
      <c r="AD28" s="188">
        <f>1/(COS((4*ATAN(1))/2-(AC28*(4*ATAN(1))/180)))</f>
        <v>1.3269305484603511</v>
      </c>
      <c r="AE28" s="188">
        <f>IF(AC28&gt;10,AD28-((AD28-1)*(0.0018161+(AD28-1)*(0.002875+(AD28-1)*0.0008083))),"")</f>
        <v>1.3260012747506964</v>
      </c>
      <c r="AF28" s="87"/>
      <c r="AG28" s="87"/>
      <c r="AH28" s="87"/>
      <c r="AI28" s="87"/>
    </row>
    <row r="29" spans="1:35">
      <c r="A29" s="42" t="s">
        <v>98</v>
      </c>
      <c r="B29" s="187">
        <v>1.9060999999999999</v>
      </c>
      <c r="C29" s="187">
        <v>-42.496899999999997</v>
      </c>
      <c r="D29" s="172">
        <v>5.1100000000000003</v>
      </c>
      <c r="E29" s="172">
        <v>-0.05</v>
      </c>
      <c r="F29" s="172">
        <v>-0.14000000000000001</v>
      </c>
      <c r="G29" s="188">
        <f>IF($AH$3&gt;0.5,($AH$2+2415019)+((((HOUR($AH$3)*60)+MINUTE($AH$3))/1440+DAY($AH$2))-0.5)-DAY($AH$2),($AH$2+2415019)+((((HOUR($AH$3)*60)+MINUTE($AH$3))/1440+DAY($AH$2))-1.5)-DAY($AH$2)+1)</f>
        <v>2461051.9375</v>
      </c>
      <c r="H29" s="188">
        <f>IF((G29-ROUNDDOWN(G29,0))&lt;0.5,ROUNDDOWN(G29,0)-0.5,ROUNDDOWN(G29,0)+0.5)</f>
        <v>2461051.5</v>
      </c>
      <c r="I29" s="188">
        <f>$AH$3*24</f>
        <v>10.5</v>
      </c>
      <c r="J29" s="188">
        <f>G29-2451545</f>
        <v>9506.9375</v>
      </c>
      <c r="K29" s="188">
        <f>G29-2451545</f>
        <v>9506.9375</v>
      </c>
      <c r="L29" s="188">
        <f>AVERAGE(H29-2451545)/36525</f>
        <v>0.26027378507871324</v>
      </c>
      <c r="M29" s="188">
        <f>6.697374558+(0.065707485828*K29)+(1.0027379093*I29)+(0.0854103*L29)+(0.000025862*L29*L29)</f>
        <v>641.92531546860243</v>
      </c>
      <c r="N29" s="188">
        <f>M29-24*(ROUNDDOWN(M29/24,0))</f>
        <v>17.925315468602435</v>
      </c>
      <c r="O29" s="188">
        <f>125.04-0.052954*J29</f>
        <v>-378.39036837499998</v>
      </c>
      <c r="P29" s="188">
        <f>280.47+0.98565*J29</f>
        <v>9650.9829468749995</v>
      </c>
      <c r="Q29" s="188">
        <f>23.4393-0.0000004*J29</f>
        <v>23.435497224999999</v>
      </c>
      <c r="R29" s="188">
        <f>-0.000319*SIN(RADIANS(O29))-0.000024*SIN((RADIANS(2*P29)))</f>
        <v>1.1668967270040724E-4</v>
      </c>
      <c r="S29" s="188">
        <f>N29+R29*COS(RADIANS(Q29))</f>
        <v>17.925422532357235</v>
      </c>
      <c r="T29" s="188">
        <f>S29-'Data Entry-V'!$F$9/15</f>
        <v>29.556533643468349</v>
      </c>
      <c r="U29" s="188">
        <f>IF(T29&lt;0,T29+24,IF(T29&gt;24,T29-24,T29))</f>
        <v>5.5565336434683488</v>
      </c>
      <c r="V29" s="188">
        <f>U29-B29</f>
        <v>3.6504336434683489</v>
      </c>
      <c r="W29" s="188">
        <f>V29*15</f>
        <v>54.756504652025235</v>
      </c>
      <c r="X29" s="188">
        <f>IF(W29&lt;0,W29+360,W29)</f>
        <v>54.756504652025235</v>
      </c>
      <c r="Y29" s="188">
        <f>-SIN(RADIANS(X29))</f>
        <v>-0.81670707180401325</v>
      </c>
      <c r="Z29" s="188">
        <f>TAN(RADIANS(C29))*COS(RADIANS('Data Entry-V'!$F$8))-SIN(RADIANS('Data Entry-V'!$F$8))*COS(RADIANS(X29))</f>
        <v>-0.38739918171979926</v>
      </c>
      <c r="AA29" s="188">
        <f>DEGREES(ATAN2(Z29,Y29))</f>
        <v>-115.3769909379357</v>
      </c>
      <c r="AB29" s="126">
        <f>IF(AA29&lt;0,AA29+360,AA29)</f>
        <v>244.62300906206428</v>
      </c>
      <c r="AC29" s="126">
        <f>DEGREES(ASIN((SIN(RADIANS('Data Entry-V'!$F$8))*SIN(RADIANS(C29)))+(COS(RADIANS('Data Entry-V'!$F$8))*COS(RADIANS(C29))*COS(RADIANS((U29-B29)*15)))))</f>
        <v>48.204049122706294</v>
      </c>
      <c r="AD29" s="188">
        <f>1/(COS((4*ATAN(1))/2-(AC29*(4*ATAN(1))/180)))</f>
        <v>1.3413400567884506</v>
      </c>
      <c r="AE29" s="188">
        <f>IF(AC29&gt;10,AD29-((AD29-1)*(0.0018161+(AD29-1)*(0.002875+(AD29-1)*0.0008083))),"")</f>
        <v>1.3403530275891979</v>
      </c>
      <c r="AF29" s="87"/>
      <c r="AG29" s="87"/>
      <c r="AH29" s="87"/>
      <c r="AI29" s="87"/>
    </row>
    <row r="30" spans="1:35">
      <c r="A30" s="42" t="s">
        <v>99</v>
      </c>
      <c r="B30" s="187">
        <v>9.0408000000000008</v>
      </c>
      <c r="C30" s="187">
        <v>-66.396100000000004</v>
      </c>
      <c r="D30" s="172">
        <v>4</v>
      </c>
      <c r="E30" s="172">
        <v>0.15</v>
      </c>
      <c r="F30" s="172">
        <v>0.14000000000000001</v>
      </c>
      <c r="G30" s="188">
        <f>IF($AH$3&gt;0.5,($AH$2+2415019)+((((HOUR($AH$3)*60)+MINUTE($AH$3))/1440+DAY($AH$2))-0.5)-DAY($AH$2),($AH$2+2415019)+((((HOUR($AH$3)*60)+MINUTE($AH$3))/1440+DAY($AH$2))-1.5)-DAY($AH$2)+1)</f>
        <v>2461051.9375</v>
      </c>
      <c r="H30" s="188">
        <f>IF((G30-ROUNDDOWN(G30,0))&lt;0.5,ROUNDDOWN(G30,0)-0.5,ROUNDDOWN(G30,0)+0.5)</f>
        <v>2461051.5</v>
      </c>
      <c r="I30" s="188">
        <f>$AH$3*24</f>
        <v>10.5</v>
      </c>
      <c r="J30" s="188">
        <f>G30-2451545</f>
        <v>9506.9375</v>
      </c>
      <c r="K30" s="188">
        <f>G30-2451545</f>
        <v>9506.9375</v>
      </c>
      <c r="L30" s="188">
        <f>AVERAGE(H30-2451545)/36525</f>
        <v>0.26027378507871324</v>
      </c>
      <c r="M30" s="188">
        <f>6.697374558+(0.065707485828*K30)+(1.0027379093*I30)+(0.0854103*L30)+(0.000025862*L30*L30)</f>
        <v>641.92531546860243</v>
      </c>
      <c r="N30" s="188">
        <f>M30-24*(ROUNDDOWN(M30/24,0))</f>
        <v>17.925315468602435</v>
      </c>
      <c r="O30" s="188">
        <f>125.04-0.052954*J30</f>
        <v>-378.39036837499998</v>
      </c>
      <c r="P30" s="188">
        <f>280.47+0.98565*J30</f>
        <v>9650.9829468749995</v>
      </c>
      <c r="Q30" s="188">
        <f>23.4393-0.0000004*J30</f>
        <v>23.435497224999999</v>
      </c>
      <c r="R30" s="188">
        <f>-0.000319*SIN(RADIANS(O30))-0.000024*SIN((RADIANS(2*P30)))</f>
        <v>1.1668967270040724E-4</v>
      </c>
      <c r="S30" s="188">
        <f>N30+R30*COS(RADIANS(Q30))</f>
        <v>17.925422532357235</v>
      </c>
      <c r="T30" s="188">
        <f>S30-'Data Entry-V'!$F$9/15</f>
        <v>29.556533643468349</v>
      </c>
      <c r="U30" s="188">
        <f>IF(T30&lt;0,T30+24,IF(T30&gt;24,T30-24,T30))</f>
        <v>5.5565336434683488</v>
      </c>
      <c r="V30" s="188">
        <f>U30-B30</f>
        <v>-3.4842663565316521</v>
      </c>
      <c r="W30" s="188">
        <f>V30*15</f>
        <v>-52.263995347974785</v>
      </c>
      <c r="X30" s="188">
        <f>IF(W30&lt;0,W30+360,W30)</f>
        <v>307.7360046520252</v>
      </c>
      <c r="Y30" s="188">
        <f>-SIN(RADIANS(X30))</f>
        <v>0.79083909334795943</v>
      </c>
      <c r="Z30" s="188">
        <f>TAN(RADIANS(C30))*COS(RADIANS('Data Entry-V'!$F$8))-SIN(RADIANS('Data Entry-V'!$F$8))*COS(RADIANS(X30))</f>
        <v>-1.4647619069761575</v>
      </c>
      <c r="AA30" s="188">
        <f>DEGREES(ATAN2(Z30,Y30))</f>
        <v>151.63496166638558</v>
      </c>
      <c r="AB30" s="126">
        <f>IF(AA30&lt;0,AA30+360,AA30)</f>
        <v>151.63496166638558</v>
      </c>
      <c r="AC30" s="126">
        <f>DEGREES(ASIN((SIN(RADIANS('Data Entry-V'!$F$8))*SIN(RADIANS(C30)))+(COS(RADIANS('Data Entry-V'!$F$8))*COS(RADIANS(C30))*COS(RADIANS((U30-B30)*15)))))</f>
        <v>48.200025812755996</v>
      </c>
      <c r="AD30" s="188">
        <f>1/(COS((4*ATAN(1))/2-(AC30*(4*ATAN(1))/180)))</f>
        <v>1.34142426800658</v>
      </c>
      <c r="AE30" s="188">
        <f>IF(AC30&gt;10,AD30-((AD30-1)*(0.0018161+(AD30-1)*(0.002875+(AD30-1)*0.0008083))),"")</f>
        <v>1.3404368967708669</v>
      </c>
      <c r="AF30" s="87"/>
      <c r="AG30" s="87"/>
      <c r="AH30" s="87"/>
      <c r="AI30" s="87"/>
    </row>
    <row r="31" spans="1:35">
      <c r="A31" s="42" t="s">
        <v>100</v>
      </c>
      <c r="B31" s="187">
        <v>7.1977000000000002</v>
      </c>
      <c r="C31" s="187">
        <v>-0.49280000000000002</v>
      </c>
      <c r="D31" s="172">
        <v>4.1500000000000004</v>
      </c>
      <c r="E31" s="172">
        <v>0</v>
      </c>
      <c r="F31" s="172">
        <v>0.03</v>
      </c>
      <c r="G31" s="188">
        <f>IF($AH$3&gt;0.5,($AH$2+2415019)+((((HOUR($AH$3)*60)+MINUTE($AH$3))/1440+DAY($AH$2))-0.5)-DAY($AH$2),($AH$2+2415019)+((((HOUR($AH$3)*60)+MINUTE($AH$3))/1440+DAY($AH$2))-1.5)-DAY($AH$2)+1)</f>
        <v>2461051.9375</v>
      </c>
      <c r="H31" s="188">
        <f>IF((G31-ROUNDDOWN(G31,0))&lt;0.5,ROUNDDOWN(G31,0)-0.5,ROUNDDOWN(G31,0)+0.5)</f>
        <v>2461051.5</v>
      </c>
      <c r="I31" s="188">
        <f>$AH$3*24</f>
        <v>10.5</v>
      </c>
      <c r="J31" s="188">
        <f>G31-2451545</f>
        <v>9506.9375</v>
      </c>
      <c r="K31" s="188">
        <f>G31-2451545</f>
        <v>9506.9375</v>
      </c>
      <c r="L31" s="188">
        <f>AVERAGE(H31-2451545)/36525</f>
        <v>0.26027378507871324</v>
      </c>
      <c r="M31" s="188">
        <f>6.697374558+(0.065707485828*K31)+(1.0027379093*I31)+(0.0854103*L31)+(0.000025862*L31*L31)</f>
        <v>641.92531546860243</v>
      </c>
      <c r="N31" s="188">
        <f>M31-24*(ROUNDDOWN(M31/24,0))</f>
        <v>17.925315468602435</v>
      </c>
      <c r="O31" s="188">
        <f>125.04-0.052954*J31</f>
        <v>-378.39036837499998</v>
      </c>
      <c r="P31" s="188">
        <f>280.47+0.98565*J31</f>
        <v>9650.9829468749995</v>
      </c>
      <c r="Q31" s="188">
        <f>23.4393-0.0000004*J31</f>
        <v>23.435497224999999</v>
      </c>
      <c r="R31" s="188">
        <f>-0.000319*SIN(RADIANS(O31))-0.000024*SIN((RADIANS(2*P31)))</f>
        <v>1.1668967270040724E-4</v>
      </c>
      <c r="S31" s="188">
        <f>N31+R31*COS(RADIANS(Q31))</f>
        <v>17.925422532357235</v>
      </c>
      <c r="T31" s="188">
        <f>S31-'Data Entry-V'!$F$9/15</f>
        <v>29.556533643468349</v>
      </c>
      <c r="U31" s="188">
        <f>IF(T31&lt;0,T31+24,IF(T31&gt;24,T31-24,T31))</f>
        <v>5.5565336434683488</v>
      </c>
      <c r="V31" s="188">
        <f>U31-B31</f>
        <v>-1.6411663565316514</v>
      </c>
      <c r="W31" s="188">
        <f>V31*15</f>
        <v>-24.617495347974771</v>
      </c>
      <c r="X31" s="188">
        <f>IF(W31&lt;0,W31+360,W31)</f>
        <v>335.3825046520252</v>
      </c>
      <c r="Y31" s="188">
        <f>-SIN(RADIANS(X31))</f>
        <v>0.41655840939159794</v>
      </c>
      <c r="Z31" s="188">
        <f>TAN(RADIANS(C31))*COS(RADIANS('Data Entry-V'!$F$8))-SIN(RADIANS('Data Entry-V'!$F$8))*COS(RADIANS(X31))</f>
        <v>0.53811688293862658</v>
      </c>
      <c r="AA31" s="188">
        <f>DEGREES(ATAN2(Z31,Y31))</f>
        <v>37.743595805715053</v>
      </c>
      <c r="AB31" s="126">
        <f>IF(AA31&lt;0,AA31+360,AA31)</f>
        <v>37.743595805715053</v>
      </c>
      <c r="AC31" s="126">
        <f>DEGREES(ASIN((SIN(RADIANS('Data Entry-V'!$F$8))*SIN(RADIANS(C31)))+(COS(RADIANS('Data Entry-V'!$F$8))*COS(RADIANS(C31))*COS(RADIANS((U31-B31)*15)))))</f>
        <v>47.118641295455248</v>
      </c>
      <c r="AD31" s="188">
        <f>1/(COS((4*ATAN(1))/2-(AC31*(4*ATAN(1))/180)))</f>
        <v>1.3646952420330056</v>
      </c>
      <c r="AE31" s="188">
        <f>IF(AC31&gt;10,AD31-((AD31-1)*(0.0018161+(AD31-1)*(0.002875+(AD31-1)*0.0008083))),"")</f>
        <v>1.3636113295396775</v>
      </c>
      <c r="AF31" s="87"/>
      <c r="AG31" s="87"/>
      <c r="AH31" s="87"/>
      <c r="AI31" s="87"/>
    </row>
    <row r="32" spans="1:35">
      <c r="A32" s="42" t="s">
        <v>101</v>
      </c>
      <c r="B32" s="187">
        <v>8.9253999999999998</v>
      </c>
      <c r="C32" s="187">
        <v>-27.681799999999999</v>
      </c>
      <c r="D32" s="172">
        <v>4.88</v>
      </c>
      <c r="E32" s="172">
        <v>0.12</v>
      </c>
      <c r="F32" s="172">
        <v>0.15</v>
      </c>
      <c r="G32" s="188">
        <f>IF($AH$3&gt;0.5,($AH$2+2415019)+((((HOUR($AH$3)*60)+MINUTE($AH$3))/1440+DAY($AH$2))-0.5)-DAY($AH$2),($AH$2+2415019)+((((HOUR($AH$3)*60)+MINUTE($AH$3))/1440+DAY($AH$2))-1.5)-DAY($AH$2)+1)</f>
        <v>2461051.9375</v>
      </c>
      <c r="H32" s="188">
        <f>IF((G32-ROUNDDOWN(G32,0))&lt;0.5,ROUNDDOWN(G32,0)-0.5,ROUNDDOWN(G32,0)+0.5)</f>
        <v>2461051.5</v>
      </c>
      <c r="I32" s="188">
        <f>$AH$3*24</f>
        <v>10.5</v>
      </c>
      <c r="J32" s="188">
        <f>G32-2451545</f>
        <v>9506.9375</v>
      </c>
      <c r="K32" s="188">
        <f>G32-2451545</f>
        <v>9506.9375</v>
      </c>
      <c r="L32" s="188">
        <f>AVERAGE(H32-2451545)/36525</f>
        <v>0.26027378507871324</v>
      </c>
      <c r="M32" s="188">
        <f>6.697374558+(0.065707485828*K32)+(1.0027379093*I32)+(0.0854103*L32)+(0.000025862*L32*L32)</f>
        <v>641.92531546860243</v>
      </c>
      <c r="N32" s="188">
        <f>M32-24*(ROUNDDOWN(M32/24,0))</f>
        <v>17.925315468602435</v>
      </c>
      <c r="O32" s="188">
        <f>125.04-0.052954*J32</f>
        <v>-378.39036837499998</v>
      </c>
      <c r="P32" s="188">
        <f>280.47+0.98565*J32</f>
        <v>9650.9829468749995</v>
      </c>
      <c r="Q32" s="188">
        <f>23.4393-0.0000004*J32</f>
        <v>23.435497224999999</v>
      </c>
      <c r="R32" s="188">
        <f>-0.000319*SIN(RADIANS(O32))-0.000024*SIN((RADIANS(2*P32)))</f>
        <v>1.1668967270040724E-4</v>
      </c>
      <c r="S32" s="188">
        <f>N32+R32*COS(RADIANS(Q32))</f>
        <v>17.925422532357235</v>
      </c>
      <c r="T32" s="188">
        <f>S32-'Data Entry-V'!$F$9/15</f>
        <v>29.556533643468349</v>
      </c>
      <c r="U32" s="188">
        <f>IF(T32&lt;0,T32+24,IF(T32&gt;24,T32-24,T32))</f>
        <v>5.5565336434683488</v>
      </c>
      <c r="V32" s="188">
        <f>U32-B32</f>
        <v>-3.368866356531651</v>
      </c>
      <c r="W32" s="188">
        <f>V32*15</f>
        <v>-50.532995347974762</v>
      </c>
      <c r="X32" s="188">
        <f>IF(W32&lt;0,W32+360,W32)</f>
        <v>309.46700465202525</v>
      </c>
      <c r="Y32" s="188">
        <f>-SIN(RADIANS(X32))</f>
        <v>0.77199075852853127</v>
      </c>
      <c r="Z32" s="188">
        <f>TAN(RADIANS(C32))*COS(RADIANS('Data Entry-V'!$F$8))-SIN(RADIANS('Data Entry-V'!$F$8))*COS(RADIANS(X32))</f>
        <v>-3.883040394622117E-2</v>
      </c>
      <c r="AA32" s="188">
        <f>DEGREES(ATAN2(Z32,Y32))</f>
        <v>92.87949670625602</v>
      </c>
      <c r="AB32" s="126">
        <f>IF(AA32&lt;0,AA32+360,AA32)</f>
        <v>92.87949670625602</v>
      </c>
      <c r="AC32" s="126">
        <f>DEGREES(ASIN((SIN(RADIANS('Data Entry-V'!$F$8))*SIN(RADIANS(C32)))+(COS(RADIANS('Data Entry-V'!$F$8))*COS(RADIANS(C32))*COS(RADIANS((U32-B32)*15)))))</f>
        <v>46.804182108678098</v>
      </c>
      <c r="AD32" s="188">
        <f>1/(COS((4*ATAN(1))/2-(AC32*(4*ATAN(1))/180)))</f>
        <v>1.3717071299152932</v>
      </c>
      <c r="AE32" s="188">
        <f>IF(AC32&gt;10,AD32-((AD32-1)*(0.0018161+(AD32-1)*(0.002875+(AD32-1)*0.0008083))),"")</f>
        <v>1.3705933326466191</v>
      </c>
      <c r="AF32" s="87"/>
      <c r="AG32" s="87"/>
      <c r="AH32" s="87"/>
      <c r="AI32" s="87"/>
    </row>
    <row r="33" spans="1:35">
      <c r="A33" s="42" t="s">
        <v>102</v>
      </c>
      <c r="B33" s="187">
        <v>5.4412000000000003</v>
      </c>
      <c r="C33" s="187">
        <v>6.8686999999999996</v>
      </c>
      <c r="D33" s="172">
        <v>6.42</v>
      </c>
      <c r="E33" s="172">
        <v>-0.02</v>
      </c>
      <c r="F33" s="172">
        <v>-0.05</v>
      </c>
      <c r="G33" s="188">
        <f>IF($AH$3&gt;0.5,($AH$2+2415019)+((((HOUR($AH$3)*60)+MINUTE($AH$3))/1440+DAY($AH$2))-0.5)-DAY($AH$2),($AH$2+2415019)+((((HOUR($AH$3)*60)+MINUTE($AH$3))/1440+DAY($AH$2))-1.5)-DAY($AH$2)+1)</f>
        <v>2461051.9375</v>
      </c>
      <c r="H33" s="188">
        <f>IF((G33-ROUNDDOWN(G33,0))&lt;0.5,ROUNDDOWN(G33,0)-0.5,ROUNDDOWN(G33,0)+0.5)</f>
        <v>2461051.5</v>
      </c>
      <c r="I33" s="188">
        <f>$AH$3*24</f>
        <v>10.5</v>
      </c>
      <c r="J33" s="188">
        <f>G33-2451545</f>
        <v>9506.9375</v>
      </c>
      <c r="K33" s="188">
        <f>G33-2451545</f>
        <v>9506.9375</v>
      </c>
      <c r="L33" s="188">
        <f>AVERAGE(H33-2451545)/36525</f>
        <v>0.26027378507871324</v>
      </c>
      <c r="M33" s="188">
        <f>6.697374558+(0.065707485828*K33)+(1.0027379093*I33)+(0.0854103*L33)+(0.000025862*L33*L33)</f>
        <v>641.92531546860243</v>
      </c>
      <c r="N33" s="188">
        <f>M33-24*(ROUNDDOWN(M33/24,0))</f>
        <v>17.925315468602435</v>
      </c>
      <c r="O33" s="188">
        <f>125.04-0.052954*J33</f>
        <v>-378.39036837499998</v>
      </c>
      <c r="P33" s="188">
        <f>280.47+0.98565*J33</f>
        <v>9650.9829468749995</v>
      </c>
      <c r="Q33" s="188">
        <f>23.4393-0.0000004*J33</f>
        <v>23.435497224999999</v>
      </c>
      <c r="R33" s="188">
        <f>-0.000319*SIN(RADIANS(O33))-0.000024*SIN((RADIANS(2*P33)))</f>
        <v>1.1668967270040724E-4</v>
      </c>
      <c r="S33" s="188">
        <f>N33+R33*COS(RADIANS(Q33))</f>
        <v>17.925422532357235</v>
      </c>
      <c r="T33" s="188">
        <f>S33-'Data Entry-V'!$F$9/15</f>
        <v>29.556533643468349</v>
      </c>
      <c r="U33" s="188">
        <f>IF(T33&lt;0,T33+24,IF(T33&gt;24,T33-24,T33))</f>
        <v>5.5565336434683488</v>
      </c>
      <c r="V33" s="188">
        <f>U33-B33</f>
        <v>0.11533364346834851</v>
      </c>
      <c r="W33" s="188">
        <f>V33*15</f>
        <v>1.7300046520252277</v>
      </c>
      <c r="X33" s="188">
        <f>IF(W33&lt;0,W33+360,W33)</f>
        <v>1.7300046520252277</v>
      </c>
      <c r="Y33" s="188">
        <f>-SIN(RADIANS(X33))</f>
        <v>-3.0189689469656219E-2</v>
      </c>
      <c r="Z33" s="188">
        <f>TAN(RADIANS(C33))*COS(RADIANS('Data Entry-V'!$F$8))-SIN(RADIANS('Data Entry-V'!$F$8))*COS(RADIANS(X33))</f>
        <v>0.69562942945182371</v>
      </c>
      <c r="AA33" s="188">
        <f>DEGREES(ATAN2(Z33,Y33))</f>
        <v>-2.485025740505594</v>
      </c>
      <c r="AB33" s="126">
        <f>IF(AA33&lt;0,AA33+360,AA33)</f>
        <v>357.51497425949441</v>
      </c>
      <c r="AC33" s="126">
        <f>DEGREES(ASIN((SIN(RADIANS('Data Entry-V'!$F$8))*SIN(RADIANS(C33)))+(COS(RADIANS('Data Entry-V'!$F$8))*COS(RADIANS(C33))*COS(RADIANS((U33-B33)*15)))))</f>
        <v>46.267937790987212</v>
      </c>
      <c r="AD33" s="188">
        <f>1/(COS((4*ATAN(1))/2-(AC33*(4*ATAN(1))/180)))</f>
        <v>1.3839290006083855</v>
      </c>
      <c r="AE33" s="188">
        <f>IF(AC33&gt;10,AD33-((AD33-1)*(0.0018161+(AD33-1)*(0.002875+(AD33-1)*0.0008083))),"")</f>
        <v>1.3827622248298601</v>
      </c>
      <c r="AF33" s="87"/>
      <c r="AG33" s="87"/>
      <c r="AH33" s="87"/>
      <c r="AI33" s="87"/>
    </row>
    <row r="34" spans="1:35">
      <c r="A34" s="42" t="s">
        <v>103</v>
      </c>
      <c r="B34" s="187">
        <v>7.0723000000000003</v>
      </c>
      <c r="C34" s="187">
        <v>1.4884999999999999</v>
      </c>
      <c r="D34" s="172">
        <v>6.56</v>
      </c>
      <c r="E34" s="172">
        <v>0.01</v>
      </c>
      <c r="F34" s="172">
        <v>-7.0000000000000007E-2</v>
      </c>
      <c r="G34" s="188">
        <f>IF($AH$3&gt;0.5,($AH$2+2415019)+((((HOUR($AH$3)*60)+MINUTE($AH$3))/1440+DAY($AH$2))-0.5)-DAY($AH$2),($AH$2+2415019)+((((HOUR($AH$3)*60)+MINUTE($AH$3))/1440+DAY($AH$2))-1.5)-DAY($AH$2)+1)</f>
        <v>2461051.9375</v>
      </c>
      <c r="H34" s="188">
        <f>IF((G34-ROUNDDOWN(G34,0))&lt;0.5,ROUNDDOWN(G34,0)-0.5,ROUNDDOWN(G34,0)+0.5)</f>
        <v>2461051.5</v>
      </c>
      <c r="I34" s="188">
        <f>$AH$3*24</f>
        <v>10.5</v>
      </c>
      <c r="J34" s="188">
        <f>G34-2451545</f>
        <v>9506.9375</v>
      </c>
      <c r="K34" s="188">
        <f>G34-2451545</f>
        <v>9506.9375</v>
      </c>
      <c r="L34" s="188">
        <f>AVERAGE(H34-2451545)/36525</f>
        <v>0.26027378507871324</v>
      </c>
      <c r="M34" s="188">
        <f>6.697374558+(0.065707485828*K34)+(1.0027379093*I34)+(0.0854103*L34)+(0.000025862*L34*L34)</f>
        <v>641.92531546860243</v>
      </c>
      <c r="N34" s="188">
        <f>M34-24*(ROUNDDOWN(M34/24,0))</f>
        <v>17.925315468602435</v>
      </c>
      <c r="O34" s="188">
        <f>125.04-0.052954*J34</f>
        <v>-378.39036837499998</v>
      </c>
      <c r="P34" s="188">
        <f>280.47+0.98565*J34</f>
        <v>9650.9829468749995</v>
      </c>
      <c r="Q34" s="188">
        <f>23.4393-0.0000004*J34</f>
        <v>23.435497224999999</v>
      </c>
      <c r="R34" s="188">
        <f>-0.000319*SIN(RADIANS(O34))-0.000024*SIN((RADIANS(2*P34)))</f>
        <v>1.1668967270040724E-4</v>
      </c>
      <c r="S34" s="188">
        <f>N34+R34*COS(RADIANS(Q34))</f>
        <v>17.925422532357235</v>
      </c>
      <c r="T34" s="188">
        <f>S34-'Data Entry-V'!$F$9/15</f>
        <v>29.556533643468349</v>
      </c>
      <c r="U34" s="188">
        <f>IF(T34&lt;0,T34+24,IF(T34&gt;24,T34-24,T34))</f>
        <v>5.5565336434683488</v>
      </c>
      <c r="V34" s="188">
        <f>U34-B34</f>
        <v>-1.5157663565316515</v>
      </c>
      <c r="W34" s="188">
        <f>V34*15</f>
        <v>-22.736495347974774</v>
      </c>
      <c r="X34" s="188">
        <f>IF(W34&lt;0,W34+360,W34)</f>
        <v>337.26350465202523</v>
      </c>
      <c r="Y34" s="188">
        <f>-SIN(RADIANS(X34))</f>
        <v>0.38649358753577084</v>
      </c>
      <c r="Z34" s="188">
        <f>TAN(RADIANS(C34))*COS(RADIANS('Data Entry-V'!$F$8))-SIN(RADIANS('Data Entry-V'!$F$8))*COS(RADIANS(X34))</f>
        <v>0.57370228538579626</v>
      </c>
      <c r="AA34" s="188">
        <f>DEGREES(ATAN2(Z34,Y34))</f>
        <v>33.967486664582012</v>
      </c>
      <c r="AB34" s="126">
        <f>IF(AA34&lt;0,AA34+360,AA34)</f>
        <v>33.967486664582012</v>
      </c>
      <c r="AC34" s="126">
        <f>DEGREES(ASIN((SIN(RADIANS('Data Entry-V'!$F$8))*SIN(RADIANS(C34)))+(COS(RADIANS('Data Entry-V'!$F$8))*COS(RADIANS(C34))*COS(RADIANS((U34-B34)*15)))))</f>
        <v>46.250090919973701</v>
      </c>
      <c r="AD34" s="188">
        <f>1/(COS((4*ATAN(1))/2-(AC34*(4*ATAN(1))/180)))</f>
        <v>1.3843415970959942</v>
      </c>
      <c r="AE34" s="188">
        <f>IF(AC34&gt;10,AD34-((AD34-1)*(0.0018161+(AD34-1)*(0.002875+(AD34-1)*0.0008083))),"")</f>
        <v>1.3831730130324635</v>
      </c>
      <c r="AF34" s="87"/>
      <c r="AG34" s="87"/>
      <c r="AH34" s="87"/>
      <c r="AI34" s="87"/>
    </row>
    <row r="35" spans="1:35">
      <c r="A35" s="42" t="s">
        <v>104</v>
      </c>
      <c r="B35" s="187">
        <v>6.8609</v>
      </c>
      <c r="C35" s="187">
        <v>3.0419999999999998</v>
      </c>
      <c r="D35" s="172">
        <v>6.38</v>
      </c>
      <c r="E35" s="172">
        <v>0.04</v>
      </c>
      <c r="F35" s="172">
        <v>0.09</v>
      </c>
      <c r="G35" s="188">
        <f>IF($AH$3&gt;0.5,($AH$2+2415019)+((((HOUR($AH$3)*60)+MINUTE($AH$3))/1440+DAY($AH$2))-0.5)-DAY($AH$2),($AH$2+2415019)+((((HOUR($AH$3)*60)+MINUTE($AH$3))/1440+DAY($AH$2))-1.5)-DAY($AH$2)+1)</f>
        <v>2461051.9375</v>
      </c>
      <c r="H35" s="188">
        <f>IF((G35-ROUNDDOWN(G35,0))&lt;0.5,ROUNDDOWN(G35,0)-0.5,ROUNDDOWN(G35,0)+0.5)</f>
        <v>2461051.5</v>
      </c>
      <c r="I35" s="188">
        <f>$AH$3*24</f>
        <v>10.5</v>
      </c>
      <c r="J35" s="188">
        <f>G35-2451545</f>
        <v>9506.9375</v>
      </c>
      <c r="K35" s="188">
        <f>G35-2451545</f>
        <v>9506.9375</v>
      </c>
      <c r="L35" s="188">
        <f>AVERAGE(H35-2451545)/36525</f>
        <v>0.26027378507871324</v>
      </c>
      <c r="M35" s="188">
        <f>6.697374558+(0.065707485828*K35)+(1.0027379093*I35)+(0.0854103*L35)+(0.000025862*L35*L35)</f>
        <v>641.92531546860243</v>
      </c>
      <c r="N35" s="188">
        <f>M35-24*(ROUNDDOWN(M35/24,0))</f>
        <v>17.925315468602435</v>
      </c>
      <c r="O35" s="188">
        <f>125.04-0.052954*J35</f>
        <v>-378.39036837499998</v>
      </c>
      <c r="P35" s="188">
        <f>280.47+0.98565*J35</f>
        <v>9650.9829468749995</v>
      </c>
      <c r="Q35" s="188">
        <f>23.4393-0.0000004*J35</f>
        <v>23.435497224999999</v>
      </c>
      <c r="R35" s="188">
        <f>-0.000319*SIN(RADIANS(O35))-0.000024*SIN((RADIANS(2*P35)))</f>
        <v>1.1668967270040724E-4</v>
      </c>
      <c r="S35" s="188">
        <f>N35+R35*COS(RADIANS(Q35))</f>
        <v>17.925422532357235</v>
      </c>
      <c r="T35" s="188">
        <f>S35-'Data Entry-V'!$F$9/15</f>
        <v>29.556533643468349</v>
      </c>
      <c r="U35" s="188">
        <f>IF(T35&lt;0,T35+24,IF(T35&gt;24,T35-24,T35))</f>
        <v>5.5565336434683488</v>
      </c>
      <c r="V35" s="188">
        <f>U35-B35</f>
        <v>-1.3043663565316512</v>
      </c>
      <c r="W35" s="188">
        <f>V35*15</f>
        <v>-19.565495347974768</v>
      </c>
      <c r="X35" s="188">
        <f>IF(W35&lt;0,W35+360,W35)</f>
        <v>340.43450465202523</v>
      </c>
      <c r="Y35" s="188">
        <f>-SIN(RADIANS(X35))</f>
        <v>0.33488418331889641</v>
      </c>
      <c r="Z35" s="188">
        <f>TAN(RADIANS(C35))*COS(RADIANS('Data Entry-V'!$F$8))-SIN(RADIANS('Data Entry-V'!$F$8))*COS(RADIANS(X35))</f>
        <v>0.60740903510792787</v>
      </c>
      <c r="AA35" s="188">
        <f>DEGREES(ATAN2(Z35,Y35))</f>
        <v>28.869364744107315</v>
      </c>
      <c r="AB35" s="126">
        <f>IF(AA35&lt;0,AA35+360,AA35)</f>
        <v>28.869364744107315</v>
      </c>
      <c r="AC35" s="126">
        <f>DEGREES(ASIN((SIN(RADIANS('Data Entry-V'!$F$8))*SIN(RADIANS(C35)))+(COS(RADIANS('Data Entry-V'!$F$8))*COS(RADIANS(C35))*COS(RADIANS((U35-B35)*15)))))</f>
        <v>46.161228274505334</v>
      </c>
      <c r="AD35" s="188">
        <f>1/(COS((4*ATAN(1))/2-(AC35*(4*ATAN(1))/180)))</f>
        <v>1.3864016581953345</v>
      </c>
      <c r="AE35" s="188">
        <f>IF(AC35&gt;10,AD35-((AD35-1)*(0.0018161+(AD35-1)*(0.002875+(AD35-1)*0.0008083))),"")</f>
        <v>1.3852240261111897</v>
      </c>
      <c r="AF35" s="87"/>
      <c r="AG35" s="87"/>
      <c r="AH35" s="87"/>
      <c r="AI35" s="87"/>
    </row>
    <row r="36" spans="1:35">
      <c r="A36" s="42" t="s">
        <v>105</v>
      </c>
      <c r="B36" s="187">
        <v>4.59</v>
      </c>
      <c r="C36" s="187">
        <v>5.5686</v>
      </c>
      <c r="D36" s="172">
        <v>5.68</v>
      </c>
      <c r="E36" s="172">
        <v>0.05</v>
      </c>
      <c r="F36" s="172">
        <v>0.1</v>
      </c>
      <c r="G36" s="188">
        <f>IF($AH$3&gt;0.5,($AH$2+2415019)+((((HOUR($AH$3)*60)+MINUTE($AH$3))/1440+DAY($AH$2))-0.5)-DAY($AH$2),($AH$2+2415019)+((((HOUR($AH$3)*60)+MINUTE($AH$3))/1440+DAY($AH$2))-1.5)-DAY($AH$2)+1)</f>
        <v>2461051.9375</v>
      </c>
      <c r="H36" s="188">
        <f>IF((G36-ROUNDDOWN(G36,0))&lt;0.5,ROUNDDOWN(G36,0)-0.5,ROUNDDOWN(G36,0)+0.5)</f>
        <v>2461051.5</v>
      </c>
      <c r="I36" s="188">
        <f>$AH$3*24</f>
        <v>10.5</v>
      </c>
      <c r="J36" s="188">
        <f>G36-2451545</f>
        <v>9506.9375</v>
      </c>
      <c r="K36" s="188">
        <f>G36-2451545</f>
        <v>9506.9375</v>
      </c>
      <c r="L36" s="188">
        <f>AVERAGE(H36-2451545)/36525</f>
        <v>0.26027378507871324</v>
      </c>
      <c r="M36" s="188">
        <f>6.697374558+(0.065707485828*K36)+(1.0027379093*I36)+(0.0854103*L36)+(0.000025862*L36*L36)</f>
        <v>641.92531546860243</v>
      </c>
      <c r="N36" s="188">
        <f>M36-24*(ROUNDDOWN(M36/24,0))</f>
        <v>17.925315468602435</v>
      </c>
      <c r="O36" s="188">
        <f>125.04-0.052954*J36</f>
        <v>-378.39036837499998</v>
      </c>
      <c r="P36" s="188">
        <f>280.47+0.98565*J36</f>
        <v>9650.9829468749995</v>
      </c>
      <c r="Q36" s="188">
        <f>23.4393-0.0000004*J36</f>
        <v>23.435497224999999</v>
      </c>
      <c r="R36" s="188">
        <f>-0.000319*SIN(RADIANS(O36))-0.000024*SIN((RADIANS(2*P36)))</f>
        <v>1.1668967270040724E-4</v>
      </c>
      <c r="S36" s="188">
        <f>N36+R36*COS(RADIANS(Q36))</f>
        <v>17.925422532357235</v>
      </c>
      <c r="T36" s="188">
        <f>S36-'Data Entry-V'!$F$9/15</f>
        <v>29.556533643468349</v>
      </c>
      <c r="U36" s="188">
        <f>IF(T36&lt;0,T36+24,IF(T36&gt;24,T36-24,T36))</f>
        <v>5.5565336434683488</v>
      </c>
      <c r="V36" s="188">
        <f>U36-B36</f>
        <v>0.96653364346834891</v>
      </c>
      <c r="W36" s="188">
        <f>V36*15</f>
        <v>14.498004652025234</v>
      </c>
      <c r="X36" s="188">
        <f>IF(W36&lt;0,W36+360,W36)</f>
        <v>14.498004652025234</v>
      </c>
      <c r="Y36" s="188">
        <f>-SIN(RADIANS(X36))</f>
        <v>-0.25034628778164031</v>
      </c>
      <c r="Z36" s="188">
        <f>TAN(RADIANS(C36))*COS(RADIANS('Data Entry-V'!$F$8))-SIN(RADIANS('Data Entry-V'!$F$8))*COS(RADIANS(X36))</f>
        <v>0.65843480435485613</v>
      </c>
      <c r="AA36" s="188">
        <f>DEGREES(ATAN2(Z36,Y36))</f>
        <v>-20.817516364170011</v>
      </c>
      <c r="AB36" s="126">
        <f>IF(AA36&lt;0,AA36+360,AA36)</f>
        <v>339.18248363583001</v>
      </c>
      <c r="AC36" s="126">
        <f>DEGREES(ASIN((SIN(RADIANS('Data Entry-V'!$F$8))*SIN(RADIANS(C36)))+(COS(RADIANS('Data Entry-V'!$F$8))*COS(RADIANS(C36))*COS(RADIANS((U36-B36)*15)))))</f>
        <v>45.484905231172128</v>
      </c>
      <c r="AD36" s="188">
        <f>1/(COS((4*ATAN(1))/2-(AC36*(4*ATAN(1))/180)))</f>
        <v>1.4023951865711326</v>
      </c>
      <c r="AE36" s="188">
        <f>IF(AC36&gt;10,AD36-((AD36-1)*(0.0018161+(AD36-1)*(0.002875+(AD36-1)*0.0008083))),"")</f>
        <v>1.4011462051802908</v>
      </c>
      <c r="AF36" s="87"/>
      <c r="AG36" s="87"/>
      <c r="AH36" s="87"/>
      <c r="AI36" s="87"/>
    </row>
    <row r="37" spans="1:35">
      <c r="A37" s="42" t="s">
        <v>106</v>
      </c>
      <c r="B37" s="187">
        <v>7.0282</v>
      </c>
      <c r="C37" s="187">
        <v>4.8181000000000003</v>
      </c>
      <c r="D37" s="172">
        <v>6.63</v>
      </c>
      <c r="E37" s="172">
        <v>0.06</v>
      </c>
      <c r="F37" s="172">
        <v>0.09</v>
      </c>
      <c r="G37" s="188">
        <f>IF($AH$3&gt;0.5,($AH$2+2415019)+((((HOUR($AH$3)*60)+MINUTE($AH$3))/1440+DAY($AH$2))-0.5)-DAY($AH$2),($AH$2+2415019)+((((HOUR($AH$3)*60)+MINUTE($AH$3))/1440+DAY($AH$2))-1.5)-DAY($AH$2)+1)</f>
        <v>2461051.9375</v>
      </c>
      <c r="H37" s="188">
        <f>IF((G37-ROUNDDOWN(G37,0))&lt;0.5,ROUNDDOWN(G37,0)-0.5,ROUNDDOWN(G37,0)+0.5)</f>
        <v>2461051.5</v>
      </c>
      <c r="I37" s="188">
        <f>$AH$3*24</f>
        <v>10.5</v>
      </c>
      <c r="J37" s="188">
        <f>G37-2451545</f>
        <v>9506.9375</v>
      </c>
      <c r="K37" s="188">
        <f>G37-2451545</f>
        <v>9506.9375</v>
      </c>
      <c r="L37" s="188">
        <f>AVERAGE(H37-2451545)/36525</f>
        <v>0.26027378507871324</v>
      </c>
      <c r="M37" s="188">
        <f>6.697374558+(0.065707485828*K37)+(1.0027379093*I37)+(0.0854103*L37)+(0.000025862*L37*L37)</f>
        <v>641.92531546860243</v>
      </c>
      <c r="N37" s="188">
        <f>M37-24*(ROUNDDOWN(M37/24,0))</f>
        <v>17.925315468602435</v>
      </c>
      <c r="O37" s="188">
        <f>125.04-0.052954*J37</f>
        <v>-378.39036837499998</v>
      </c>
      <c r="P37" s="188">
        <f>280.47+0.98565*J37</f>
        <v>9650.9829468749995</v>
      </c>
      <c r="Q37" s="188">
        <f>23.4393-0.0000004*J37</f>
        <v>23.435497224999999</v>
      </c>
      <c r="R37" s="188">
        <f>-0.000319*SIN(RADIANS(O37))-0.000024*SIN((RADIANS(2*P37)))</f>
        <v>1.1668967270040724E-4</v>
      </c>
      <c r="S37" s="188">
        <f>N37+R37*COS(RADIANS(Q37))</f>
        <v>17.925422532357235</v>
      </c>
      <c r="T37" s="188">
        <f>S37-'Data Entry-V'!$F$9/15</f>
        <v>29.556533643468349</v>
      </c>
      <c r="U37" s="188">
        <f>IF(T37&lt;0,T37+24,IF(T37&gt;24,T37-24,T37))</f>
        <v>5.5565336434683488</v>
      </c>
      <c r="V37" s="188">
        <f>U37-B37</f>
        <v>-1.4716663565316512</v>
      </c>
      <c r="W37" s="188">
        <f>V37*15</f>
        <v>-22.07499534797477</v>
      </c>
      <c r="X37" s="188">
        <f>IF(W37&lt;0,W37+360,W37)</f>
        <v>337.92500465202522</v>
      </c>
      <c r="Y37" s="188">
        <f>-SIN(RADIANS(X37))</f>
        <v>0.3758198777166239</v>
      </c>
      <c r="Z37" s="188">
        <f>TAN(RADIANS(C37))*COS(RADIANS('Data Entry-V'!$F$8))-SIN(RADIANS('Data Entry-V'!$F$8))*COS(RADIANS(X37))</f>
        <v>0.62300706830837116</v>
      </c>
      <c r="AA37" s="188">
        <f>DEGREES(ATAN2(Z37,Y37))</f>
        <v>31.099864248410373</v>
      </c>
      <c r="AB37" s="126">
        <f>IF(AA37&lt;0,AA37+360,AA37)</f>
        <v>31.099864248410373</v>
      </c>
      <c r="AC37" s="126">
        <f>DEGREES(ASIN((SIN(RADIANS('Data Entry-V'!$F$8))*SIN(RADIANS(C37)))+(COS(RADIANS('Data Entry-V'!$F$8))*COS(RADIANS(C37))*COS(RADIANS((U37-B37)*15)))))</f>
        <v>43.530076534035857</v>
      </c>
      <c r="AD37" s="188">
        <f>1/(COS((4*ATAN(1))/2-(AC37*(4*ATAN(1))/180)))</f>
        <v>1.4519367099067435</v>
      </c>
      <c r="AE37" s="188">
        <f>IF(AC37&gt;10,AD37-((AD37-1)*(0.0018161+(AD37-1)*(0.002875+(AD37-1)*0.0008083))),"")</f>
        <v>1.4504541266846149</v>
      </c>
      <c r="AF37" s="87"/>
      <c r="AG37" s="87"/>
      <c r="AH37" s="87"/>
      <c r="AI37" s="87"/>
    </row>
    <row r="38" spans="1:35">
      <c r="A38" s="42" t="s">
        <v>107</v>
      </c>
      <c r="B38" s="187">
        <v>6.5795000000000003</v>
      </c>
      <c r="C38" s="187">
        <v>7.5724</v>
      </c>
      <c r="D38" s="172">
        <v>6.44</v>
      </c>
      <c r="E38" s="172">
        <v>-0.01</v>
      </c>
      <c r="F38" s="172">
        <v>-0.03</v>
      </c>
      <c r="G38" s="188">
        <f>IF($AH$3&gt;0.5,($AH$2+2415019)+((((HOUR($AH$3)*60)+MINUTE($AH$3))/1440+DAY($AH$2))-0.5)-DAY($AH$2),($AH$2+2415019)+((((HOUR($AH$3)*60)+MINUTE($AH$3))/1440+DAY($AH$2))-1.5)-DAY($AH$2)+1)</f>
        <v>2461051.9375</v>
      </c>
      <c r="H38" s="188">
        <f>IF((G38-ROUNDDOWN(G38,0))&lt;0.5,ROUNDDOWN(G38,0)-0.5,ROUNDDOWN(G38,0)+0.5)</f>
        <v>2461051.5</v>
      </c>
      <c r="I38" s="188">
        <f>$AH$3*24</f>
        <v>10.5</v>
      </c>
      <c r="J38" s="188">
        <f>G38-2451545</f>
        <v>9506.9375</v>
      </c>
      <c r="K38" s="188">
        <f>G38-2451545</f>
        <v>9506.9375</v>
      </c>
      <c r="L38" s="188">
        <f>AVERAGE(H38-2451545)/36525</f>
        <v>0.26027378507871324</v>
      </c>
      <c r="M38" s="188">
        <f>6.697374558+(0.065707485828*K38)+(1.0027379093*I38)+(0.0854103*L38)+(0.000025862*L38*L38)</f>
        <v>641.92531546860243</v>
      </c>
      <c r="N38" s="188">
        <f>M38-24*(ROUNDDOWN(M38/24,0))</f>
        <v>17.925315468602435</v>
      </c>
      <c r="O38" s="188">
        <f>125.04-0.052954*J38</f>
        <v>-378.39036837499998</v>
      </c>
      <c r="P38" s="188">
        <f>280.47+0.98565*J38</f>
        <v>9650.9829468749995</v>
      </c>
      <c r="Q38" s="188">
        <f>23.4393-0.0000004*J38</f>
        <v>23.435497224999999</v>
      </c>
      <c r="R38" s="188">
        <f>-0.000319*SIN(RADIANS(O38))-0.000024*SIN((RADIANS(2*P38)))</f>
        <v>1.1668967270040724E-4</v>
      </c>
      <c r="S38" s="188">
        <f>N38+R38*COS(RADIANS(Q38))</f>
        <v>17.925422532357235</v>
      </c>
      <c r="T38" s="188">
        <f>S38-'Data Entry-V'!$F$9/15</f>
        <v>29.556533643468349</v>
      </c>
      <c r="U38" s="188">
        <f>IF(T38&lt;0,T38+24,IF(T38&gt;24,T38-24,T38))</f>
        <v>5.5565336434683488</v>
      </c>
      <c r="V38" s="188">
        <f>U38-B38</f>
        <v>-1.0229663565316516</v>
      </c>
      <c r="W38" s="188">
        <f>V38*15</f>
        <v>-15.344495347974775</v>
      </c>
      <c r="X38" s="188">
        <f>IF(W38&lt;0,W38+360,W38)</f>
        <v>344.65550465202523</v>
      </c>
      <c r="Y38" s="188">
        <f>-SIN(RADIANS(X38))</f>
        <v>0.26462203627824937</v>
      </c>
      <c r="Z38" s="188">
        <f>TAN(RADIANS(C38))*COS(RADIANS('Data Entry-V'!$F$8))-SIN(RADIANS('Data Entry-V'!$F$8))*COS(RADIANS(X38))</f>
        <v>0.68452033744292928</v>
      </c>
      <c r="AA38" s="188">
        <f>DEGREES(ATAN2(Z38,Y38))</f>
        <v>21.135516862631793</v>
      </c>
      <c r="AB38" s="126">
        <f>IF(AA38&lt;0,AA38+360,AA38)</f>
        <v>21.135516862631793</v>
      </c>
      <c r="AC38" s="126">
        <f>DEGREES(ASIN((SIN(RADIANS('Data Entry-V'!$F$8))*SIN(RADIANS(C38)))+(COS(RADIANS('Data Entry-V'!$F$8))*COS(RADIANS(C38))*COS(RADIANS((U38-B38)*15)))))</f>
        <v>43.323721697633047</v>
      </c>
      <c r="AD38" s="188">
        <f>1/(COS((4*ATAN(1))/2-(AC38*(4*ATAN(1))/180)))</f>
        <v>1.4574718292903106</v>
      </c>
      <c r="AE38" s="188">
        <f>IF(AC38&gt;10,AD38-((AD38-1)*(0.0018161+(AD38-1)*(0.002875+(AD38-1)*0.0008083))),"")</f>
        <v>1.4559619467580913</v>
      </c>
      <c r="AF38" s="87"/>
      <c r="AG38" s="87"/>
      <c r="AH38" s="87"/>
      <c r="AI38" s="87"/>
    </row>
    <row r="39" spans="1:35">
      <c r="A39" s="42" t="s">
        <v>108</v>
      </c>
      <c r="B39" s="187">
        <v>4.8434999999999997</v>
      </c>
      <c r="C39" s="187">
        <v>8.9</v>
      </c>
      <c r="D39" s="172">
        <v>4.3499999999999996</v>
      </c>
      <c r="E39" s="172">
        <v>0.01</v>
      </c>
      <c r="F39" s="172">
        <v>0.03</v>
      </c>
      <c r="G39" s="188">
        <f>IF($AH$3&gt;0.5,($AH$2+2415019)+((((HOUR($AH$3)*60)+MINUTE($AH$3))/1440+DAY($AH$2))-0.5)-DAY($AH$2),($AH$2+2415019)+((((HOUR($AH$3)*60)+MINUTE($AH$3))/1440+DAY($AH$2))-1.5)-DAY($AH$2)+1)</f>
        <v>2461051.9375</v>
      </c>
      <c r="H39" s="188">
        <f>IF((G39-ROUNDDOWN(G39,0))&lt;0.5,ROUNDDOWN(G39,0)-0.5,ROUNDDOWN(G39,0)+0.5)</f>
        <v>2461051.5</v>
      </c>
      <c r="I39" s="188">
        <f>$AH$3*24</f>
        <v>10.5</v>
      </c>
      <c r="J39" s="188">
        <f>G39-2451545</f>
        <v>9506.9375</v>
      </c>
      <c r="K39" s="188">
        <f>G39-2451545</f>
        <v>9506.9375</v>
      </c>
      <c r="L39" s="188">
        <f>AVERAGE(H39-2451545)/36525</f>
        <v>0.26027378507871324</v>
      </c>
      <c r="M39" s="188">
        <f>6.697374558+(0.065707485828*K39)+(1.0027379093*I39)+(0.0854103*L39)+(0.000025862*L39*L39)</f>
        <v>641.92531546860243</v>
      </c>
      <c r="N39" s="188">
        <f>M39-24*(ROUNDDOWN(M39/24,0))</f>
        <v>17.925315468602435</v>
      </c>
      <c r="O39" s="188">
        <f>125.04-0.052954*J39</f>
        <v>-378.39036837499998</v>
      </c>
      <c r="P39" s="188">
        <f>280.47+0.98565*J39</f>
        <v>9650.9829468749995</v>
      </c>
      <c r="Q39" s="188">
        <f>23.4393-0.0000004*J39</f>
        <v>23.435497224999999</v>
      </c>
      <c r="R39" s="188">
        <f>-0.000319*SIN(RADIANS(O39))-0.000024*SIN((RADIANS(2*P39)))</f>
        <v>1.1668967270040724E-4</v>
      </c>
      <c r="S39" s="188">
        <f>N39+R39*COS(RADIANS(Q39))</f>
        <v>17.925422532357235</v>
      </c>
      <c r="T39" s="188">
        <f>S39-'Data Entry-V'!$F$9/15</f>
        <v>29.556533643468349</v>
      </c>
      <c r="U39" s="188">
        <f>IF(T39&lt;0,T39+24,IF(T39&gt;24,T39-24,T39))</f>
        <v>5.5565336434683488</v>
      </c>
      <c r="V39" s="188">
        <f>U39-B39</f>
        <v>0.71303364346834908</v>
      </c>
      <c r="W39" s="188">
        <f>V39*15</f>
        <v>10.695504652025235</v>
      </c>
      <c r="X39" s="188">
        <f>IF(W39&lt;0,W39+360,W39)</f>
        <v>10.695504652025235</v>
      </c>
      <c r="Y39" s="188">
        <f>-SIN(RADIANS(X39))</f>
        <v>-0.18558952036705884</v>
      </c>
      <c r="Z39" s="188">
        <f>TAN(RADIANS(C39))*COS(RADIANS('Data Entry-V'!$F$8))-SIN(RADIANS('Data Entry-V'!$F$8))*COS(RADIANS(X39))</f>
        <v>0.71441122351129116</v>
      </c>
      <c r="AA39" s="188">
        <f>DEGREES(ATAN2(Z39,Y39))</f>
        <v>-14.562391566854659</v>
      </c>
      <c r="AB39" s="126">
        <f>IF(AA39&lt;0,AA39+360,AA39)</f>
        <v>345.43760843314533</v>
      </c>
      <c r="AC39" s="126">
        <f>DEGREES(ASIN((SIN(RADIANS('Data Entry-V'!$F$8))*SIN(RADIANS(C39)))+(COS(RADIANS('Data Entry-V'!$F$8))*COS(RADIANS(C39))*COS(RADIANS((U39-B39)*15)))))</f>
        <v>43.177551920081804</v>
      </c>
      <c r="AD39" s="188">
        <f>1/(COS((4*ATAN(1))/2-(AC39*(4*ATAN(1))/180)))</f>
        <v>1.4614296946851393</v>
      </c>
      <c r="AE39" s="188">
        <f>IF(AC39&gt;10,AD39-((AD39-1)*(0.0018161+(AD39-1)*(0.002875+(AD39-1)*0.0008083))),"")</f>
        <v>1.4599001422374405</v>
      </c>
      <c r="AF39" s="87"/>
      <c r="AG39" s="87"/>
      <c r="AH39" s="87"/>
      <c r="AI39" s="87"/>
    </row>
    <row r="40" spans="1:35">
      <c r="A40" s="42" t="s">
        <v>109</v>
      </c>
      <c r="B40" s="187">
        <v>2.5325000000000002</v>
      </c>
      <c r="C40" s="187">
        <v>-12.2905</v>
      </c>
      <c r="D40" s="172">
        <v>4.8899999999999997</v>
      </c>
      <c r="E40" s="172">
        <f>-0.02</f>
        <v>-0.02</v>
      </c>
      <c r="F40" s="172">
        <v>-0.04</v>
      </c>
      <c r="G40" s="188">
        <f>IF($AH$3&gt;0.5,($AH$2+2415019)+((((HOUR($AH$3)*60)+MINUTE($AH$3))/1440+DAY($AH$2))-0.5)-DAY($AH$2),($AH$2+2415019)+((((HOUR($AH$3)*60)+MINUTE($AH$3))/1440+DAY($AH$2))-1.5)-DAY($AH$2)+1)</f>
        <v>2461051.9375</v>
      </c>
      <c r="H40" s="188">
        <f>IF((G40-ROUNDDOWN(G40,0))&lt;0.5,ROUNDDOWN(G40,0)-0.5,ROUNDDOWN(G40,0)+0.5)</f>
        <v>2461051.5</v>
      </c>
      <c r="I40" s="188">
        <f>$AH$3*24</f>
        <v>10.5</v>
      </c>
      <c r="J40" s="188">
        <f>G40-2451545</f>
        <v>9506.9375</v>
      </c>
      <c r="K40" s="188">
        <f>G40-2451545</f>
        <v>9506.9375</v>
      </c>
      <c r="L40" s="188">
        <f>AVERAGE(H40-2451545)/36525</f>
        <v>0.26027378507871324</v>
      </c>
      <c r="M40" s="188">
        <f>6.697374558+(0.065707485828*K40)+(1.0027379093*I40)+(0.0854103*L40)+(0.000025862*L40*L40)</f>
        <v>641.92531546860243</v>
      </c>
      <c r="N40" s="188">
        <f>M40-24*(ROUNDDOWN(M40/24,0))</f>
        <v>17.925315468602435</v>
      </c>
      <c r="O40" s="188">
        <f>125.04-0.052954*J40</f>
        <v>-378.39036837499998</v>
      </c>
      <c r="P40" s="188">
        <f>280.47+0.98565*J40</f>
        <v>9650.9829468749995</v>
      </c>
      <c r="Q40" s="188">
        <f>23.4393-0.0000004*J40</f>
        <v>23.435497224999999</v>
      </c>
      <c r="R40" s="188">
        <f>-0.000319*SIN(RADIANS(O40))-0.000024*SIN((RADIANS(2*P40)))</f>
        <v>1.1668967270040724E-4</v>
      </c>
      <c r="S40" s="188">
        <f>N40+R40*COS(RADIANS(Q40))</f>
        <v>17.925422532357235</v>
      </c>
      <c r="T40" s="188">
        <f>S40-'Data Entry-V'!$F$9/15</f>
        <v>29.556533643468349</v>
      </c>
      <c r="U40" s="188">
        <f>IF(T40&lt;0,T40+24,IF(T40&gt;24,T40-24,T40))</f>
        <v>5.5565336434683488</v>
      </c>
      <c r="V40" s="188">
        <f>U40-B40</f>
        <v>3.0240336434683486</v>
      </c>
      <c r="W40" s="188">
        <f>V40*15</f>
        <v>45.360504652025227</v>
      </c>
      <c r="X40" s="188">
        <f>IF(W40&lt;0,W40+360,W40)</f>
        <v>45.360504652025227</v>
      </c>
      <c r="Y40" s="188">
        <f>-SIN(RADIANS(X40))</f>
        <v>-0.71154186600978586</v>
      </c>
      <c r="Z40" s="188">
        <f>TAN(RADIANS(C40))*COS(RADIANS('Data Entry-V'!$F$8))-SIN(RADIANS('Data Entry-V'!$F$8))*COS(RADIANS(X40))</f>
        <v>0.24685476589320846</v>
      </c>
      <c r="AA40" s="188">
        <f>DEGREES(ATAN2(Z40,Y40))</f>
        <v>-70.86683818411403</v>
      </c>
      <c r="AB40" s="126">
        <f>IF(AA40&lt;0,AA40+360,AA40)</f>
        <v>289.13316181588596</v>
      </c>
      <c r="AC40" s="126">
        <f>DEGREES(ASIN((SIN(RADIANS('Data Entry-V'!$F$8))*SIN(RADIANS(C40)))+(COS(RADIANS('Data Entry-V'!$F$8))*COS(RADIANS(C40))*COS(RADIANS((U40-B40)*15)))))</f>
        <v>42.617975653880038</v>
      </c>
      <c r="AD40" s="188">
        <f>1/(COS((4*ATAN(1))/2-(AC40*(4*ATAN(1))/180)))</f>
        <v>1.4768717265651001</v>
      </c>
      <c r="AE40" s="188">
        <f>IF(AC40&gt;10,AD40-((AD40-1)*(0.0018161+(AD40-1)*(0.002875+(AD40-1)*0.0008083))),"")</f>
        <v>1.475264230599602</v>
      </c>
      <c r="AF40" s="87"/>
      <c r="AG40" s="87"/>
      <c r="AH40" s="87"/>
      <c r="AI40" s="87"/>
    </row>
    <row r="41" spans="1:35">
      <c r="A41" s="42" t="s">
        <v>110</v>
      </c>
      <c r="B41" s="187">
        <v>4.9149000000000003</v>
      </c>
      <c r="C41" s="187">
        <v>10.1508</v>
      </c>
      <c r="D41" s="172">
        <v>4.66</v>
      </c>
      <c r="E41" s="172">
        <v>0.08</v>
      </c>
      <c r="F41" s="172">
        <v>0.08</v>
      </c>
      <c r="G41" s="188">
        <f>IF($AH$3&gt;0.5,($AH$2+2415019)+((((HOUR($AH$3)*60)+MINUTE($AH$3))/1440+DAY($AH$2))-0.5)-DAY($AH$2),($AH$2+2415019)+((((HOUR($AH$3)*60)+MINUTE($AH$3))/1440+DAY($AH$2))-1.5)-DAY($AH$2)+1)</f>
        <v>2461051.9375</v>
      </c>
      <c r="H41" s="188">
        <f>IF((G41-ROUNDDOWN(G41,0))&lt;0.5,ROUNDDOWN(G41,0)-0.5,ROUNDDOWN(G41,0)+0.5)</f>
        <v>2461051.5</v>
      </c>
      <c r="I41" s="188">
        <f>$AH$3*24</f>
        <v>10.5</v>
      </c>
      <c r="J41" s="188">
        <f>G41-2451545</f>
        <v>9506.9375</v>
      </c>
      <c r="K41" s="188">
        <f>G41-2451545</f>
        <v>9506.9375</v>
      </c>
      <c r="L41" s="188">
        <f>AVERAGE(H41-2451545)/36525</f>
        <v>0.26027378507871324</v>
      </c>
      <c r="M41" s="188">
        <f>6.697374558+(0.065707485828*K41)+(1.0027379093*I41)+(0.0854103*L41)+(0.000025862*L41*L41)</f>
        <v>641.92531546860243</v>
      </c>
      <c r="N41" s="188">
        <f>M41-24*(ROUNDDOWN(M41/24,0))</f>
        <v>17.925315468602435</v>
      </c>
      <c r="O41" s="188">
        <f>125.04-0.052954*J41</f>
        <v>-378.39036837499998</v>
      </c>
      <c r="P41" s="188">
        <f>280.47+0.98565*J41</f>
        <v>9650.9829468749995</v>
      </c>
      <c r="Q41" s="188">
        <f>23.4393-0.0000004*J41</f>
        <v>23.435497224999999</v>
      </c>
      <c r="R41" s="188">
        <f>-0.000319*SIN(RADIANS(O41))-0.000024*SIN((RADIANS(2*P41)))</f>
        <v>1.1668967270040724E-4</v>
      </c>
      <c r="S41" s="188">
        <f>N41+R41*COS(RADIANS(Q41))</f>
        <v>17.925422532357235</v>
      </c>
      <c r="T41" s="188">
        <f>S41-'Data Entry-V'!$F$9/15</f>
        <v>29.556533643468349</v>
      </c>
      <c r="U41" s="188">
        <f>IF(T41&lt;0,T41+24,IF(T41&gt;24,T41-24,T41))</f>
        <v>5.5565336434683488</v>
      </c>
      <c r="V41" s="188">
        <f>U41-B41</f>
        <v>0.6416336434683485</v>
      </c>
      <c r="W41" s="188">
        <f>V41*15</f>
        <v>9.6245046520252266</v>
      </c>
      <c r="X41" s="188">
        <f>IF(W41&lt;0,W41+360,W41)</f>
        <v>9.6245046520252266</v>
      </c>
      <c r="Y41" s="188">
        <f>-SIN(RADIANS(X41))</f>
        <v>-0.16719042899987069</v>
      </c>
      <c r="Z41" s="188">
        <f>TAN(RADIANS(C41))*COS(RADIANS('Data Entry-V'!$F$8))-SIN(RADIANS('Data Entry-V'!$F$8))*COS(RADIANS(X41))</f>
        <v>0.73435345817009257</v>
      </c>
      <c r="AA41" s="188">
        <f>DEGREES(ATAN2(Z41,Y41))</f>
        <v>-12.825921420441288</v>
      </c>
      <c r="AB41" s="126">
        <f>IF(AA41&lt;0,AA41+360,AA41)</f>
        <v>347.17407857955874</v>
      </c>
      <c r="AC41" s="126">
        <f>DEGREES(ASIN((SIN(RADIANS('Data Entry-V'!$F$8))*SIN(RADIANS(C41)))+(COS(RADIANS('Data Entry-V'!$F$8))*COS(RADIANS(C41))*COS(RADIANS((U41-B41)*15)))))</f>
        <v>42.152909998023567</v>
      </c>
      <c r="AD41" s="188">
        <f>1/(COS((4*ATAN(1))/2-(AC41*(4*ATAN(1))/180)))</f>
        <v>1.4900653321469335</v>
      </c>
      <c r="AE41" s="188">
        <f>IF(AC41&gt;10,AD41-((AD41-1)*(0.0018161+(AD41-1)*(0.002875+(AD41-1)*0.0008083))),"")</f>
        <v>1.4883897191822704</v>
      </c>
      <c r="AF41" s="87"/>
      <c r="AG41" s="87"/>
      <c r="AH41" s="87"/>
      <c r="AI41" s="87"/>
    </row>
    <row r="42" spans="1:35">
      <c r="A42" s="42" t="s">
        <v>32</v>
      </c>
      <c r="B42" s="187">
        <v>7.1976000000000004</v>
      </c>
      <c r="C42" s="187">
        <v>5.6547000000000001</v>
      </c>
      <c r="D42" s="172">
        <v>6.08</v>
      </c>
      <c r="E42" s="172">
        <v>-0.02</v>
      </c>
      <c r="F42" s="172">
        <v>-0.05</v>
      </c>
      <c r="G42" s="188">
        <f>IF($AH$3&gt;0.5,($AH$2+2415019)+((((HOUR($AH$3)*60)+MINUTE($AH$3))/1440+DAY($AH$2))-0.5)-DAY($AH$2),($AH$2+2415019)+((((HOUR($AH$3)*60)+MINUTE($AH$3))/1440+DAY($AH$2))-1.5)-DAY($AH$2)+1)</f>
        <v>2461051.9375</v>
      </c>
      <c r="H42" s="188">
        <f>IF((G42-ROUNDDOWN(G42,0))&lt;0.5,ROUNDDOWN(G42,0)-0.5,ROUNDDOWN(G42,0)+0.5)</f>
        <v>2461051.5</v>
      </c>
      <c r="I42" s="188">
        <f>$AH$3*24</f>
        <v>10.5</v>
      </c>
      <c r="J42" s="188">
        <f>G42-2451545</f>
        <v>9506.9375</v>
      </c>
      <c r="K42" s="188">
        <f>G42-2451545</f>
        <v>9506.9375</v>
      </c>
      <c r="L42" s="188">
        <f>AVERAGE(H42-2451545)/36525</f>
        <v>0.26027378507871324</v>
      </c>
      <c r="M42" s="188">
        <f>6.697374558+(0.065707485828*K42)+(1.0027379093*I42)+(0.0854103*L42)+(0.000025862*L42*L42)</f>
        <v>641.92531546860243</v>
      </c>
      <c r="N42" s="188">
        <f>M42-24*(ROUNDDOWN(M42/24,0))</f>
        <v>17.925315468602435</v>
      </c>
      <c r="O42" s="188">
        <f>125.04-0.052954*J42</f>
        <v>-378.39036837499998</v>
      </c>
      <c r="P42" s="188">
        <f>280.47+0.98565*J42</f>
        <v>9650.9829468749995</v>
      </c>
      <c r="Q42" s="188">
        <f>23.4393-0.0000004*J42</f>
        <v>23.435497224999999</v>
      </c>
      <c r="R42" s="188">
        <f>-0.000319*SIN(RADIANS(O42))-0.000024*SIN((RADIANS(2*P42)))</f>
        <v>1.1668967270040724E-4</v>
      </c>
      <c r="S42" s="188">
        <f>N42+R42*COS(RADIANS(Q42))</f>
        <v>17.925422532357235</v>
      </c>
      <c r="T42" s="188">
        <f>S42-'Data Entry-V'!$F$9/15</f>
        <v>29.556533643468349</v>
      </c>
      <c r="U42" s="188">
        <f>IF(T42&lt;0,T42+24,IF(T42&gt;24,T42-24,T42))</f>
        <v>5.5565336434683488</v>
      </c>
      <c r="V42" s="188">
        <f>U42-B42</f>
        <v>-1.6410663565316517</v>
      </c>
      <c r="W42" s="188">
        <f>V42*15</f>
        <v>-24.615995347974774</v>
      </c>
      <c r="X42" s="188">
        <f>IF(W42&lt;0,W42+360,W42)</f>
        <v>335.38400465202523</v>
      </c>
      <c r="Y42" s="188">
        <f>-SIN(RADIANS(X42))</f>
        <v>0.41653460883206889</v>
      </c>
      <c r="Z42" s="188">
        <f>TAN(RADIANS(C42))*COS(RADIANS('Data Entry-V'!$F$8))-SIN(RADIANS('Data Entry-V'!$F$8))*COS(RADIANS(X42))</f>
        <v>0.62425742194768452</v>
      </c>
      <c r="AA42" s="188">
        <f>DEGREES(ATAN2(Z42,Y42))</f>
        <v>33.713126564730878</v>
      </c>
      <c r="AB42" s="126">
        <f>IF(AA42&lt;0,AA42+360,AA42)</f>
        <v>33.713126564730878</v>
      </c>
      <c r="AC42" s="126">
        <f>DEGREES(ASIN((SIN(RADIANS('Data Entry-V'!$F$8))*SIN(RADIANS(C42)))+(COS(RADIANS('Data Entry-V'!$F$8))*COS(RADIANS(C42))*COS(RADIANS((U42-B42)*15)))))</f>
        <v>41.6848947645531</v>
      </c>
      <c r="AD42" s="188">
        <f>1/(COS((4*ATAN(1))/2-(AC42*(4*ATAN(1))/180)))</f>
        <v>1.5036836698991696</v>
      </c>
      <c r="AE42" s="188">
        <f>IF(AC42&gt;10,AD42-((AD42-1)*(0.0018161+(AD42-1)*(0.002875+(AD42-1)*0.0008083))),"")</f>
        <v>1.501936263297776</v>
      </c>
      <c r="AF42" s="87"/>
      <c r="AG42" s="87"/>
      <c r="AH42" s="87"/>
      <c r="AI42" s="87"/>
    </row>
    <row r="43" spans="1:35">
      <c r="A43" s="42" t="s">
        <v>111</v>
      </c>
      <c r="B43" s="187">
        <v>6.9263000000000003</v>
      </c>
      <c r="C43" s="187">
        <v>8.3242999999999991</v>
      </c>
      <c r="D43" s="172">
        <v>6.28</v>
      </c>
      <c r="E43" s="172">
        <v>0.04</v>
      </c>
      <c r="F43" s="172">
        <v>0.06</v>
      </c>
      <c r="G43" s="188">
        <f>IF($AH$3&gt;0.5,($AH$2+2415019)+((((HOUR($AH$3)*60)+MINUTE($AH$3))/1440+DAY($AH$2))-0.5)-DAY($AH$2),($AH$2+2415019)+((((HOUR($AH$3)*60)+MINUTE($AH$3))/1440+DAY($AH$2))-1.5)-DAY($AH$2)+1)</f>
        <v>2461051.9375</v>
      </c>
      <c r="H43" s="188">
        <f>IF((G43-ROUNDDOWN(G43,0))&lt;0.5,ROUNDDOWN(G43,0)-0.5,ROUNDDOWN(G43,0)+0.5)</f>
        <v>2461051.5</v>
      </c>
      <c r="I43" s="188">
        <f>$AH$3*24</f>
        <v>10.5</v>
      </c>
      <c r="J43" s="188">
        <f>G43-2451545</f>
        <v>9506.9375</v>
      </c>
      <c r="K43" s="188">
        <f>G43-2451545</f>
        <v>9506.9375</v>
      </c>
      <c r="L43" s="188">
        <f>AVERAGE(H43-2451545)/36525</f>
        <v>0.26027378507871324</v>
      </c>
      <c r="M43" s="188">
        <f>6.697374558+(0.065707485828*K43)+(1.0027379093*I43)+(0.0854103*L43)+(0.000025862*L43*L43)</f>
        <v>641.92531546860243</v>
      </c>
      <c r="N43" s="188">
        <f>M43-24*(ROUNDDOWN(M43/24,0))</f>
        <v>17.925315468602435</v>
      </c>
      <c r="O43" s="188">
        <f>125.04-0.052954*J43</f>
        <v>-378.39036837499998</v>
      </c>
      <c r="P43" s="188">
        <f>280.47+0.98565*J43</f>
        <v>9650.9829468749995</v>
      </c>
      <c r="Q43" s="188">
        <f>23.4393-0.0000004*J43</f>
        <v>23.435497224999999</v>
      </c>
      <c r="R43" s="188">
        <f>-0.000319*SIN(RADIANS(O43))-0.000024*SIN((RADIANS(2*P43)))</f>
        <v>1.1668967270040724E-4</v>
      </c>
      <c r="S43" s="188">
        <f>N43+R43*COS(RADIANS(Q43))</f>
        <v>17.925422532357235</v>
      </c>
      <c r="T43" s="188">
        <f>S43-'Data Entry-V'!$F$9/15</f>
        <v>29.556533643468349</v>
      </c>
      <c r="U43" s="188">
        <f>IF(T43&lt;0,T43+24,IF(T43&gt;24,T43-24,T43))</f>
        <v>5.5565336434683488</v>
      </c>
      <c r="V43" s="188">
        <f>U43-B43</f>
        <v>-1.3697663565316516</v>
      </c>
      <c r="W43" s="188">
        <f>V43*15</f>
        <v>-20.546495347974773</v>
      </c>
      <c r="X43" s="188">
        <f>IF(W43&lt;0,W43+360,W43)</f>
        <v>339.45350465202523</v>
      </c>
      <c r="Y43" s="188">
        <f>-SIN(RADIANS(X43))</f>
        <v>0.35096737245184018</v>
      </c>
      <c r="Z43" s="188">
        <f>TAN(RADIANS(C43))*COS(RADIANS('Data Entry-V'!$F$8))-SIN(RADIANS('Data Entry-V'!$F$8))*COS(RADIANS(X43))</f>
        <v>0.67846435499078017</v>
      </c>
      <c r="AA43" s="188">
        <f>DEGREES(ATAN2(Z43,Y43))</f>
        <v>27.352376387628748</v>
      </c>
      <c r="AB43" s="126">
        <f>IF(AA43&lt;0,AA43+360,AA43)</f>
        <v>27.352376387628748</v>
      </c>
      <c r="AC43" s="126">
        <f>DEGREES(ASIN((SIN(RADIANS('Data Entry-V'!$F$8))*SIN(RADIANS(C43)))+(COS(RADIANS('Data Entry-V'!$F$8))*COS(RADIANS(C43))*COS(RADIANS((U43-B43)*15)))))</f>
        <v>40.903039670875891</v>
      </c>
      <c r="AD43" s="188">
        <f>1/(COS((4*ATAN(1))/2-(AC43*(4*ATAN(1))/180)))</f>
        <v>1.5272283917521809</v>
      </c>
      <c r="AE43" s="188">
        <f>IF(AC43&gt;10,AD43-((AD43-1)*(0.0018161+(AD43-1)*(0.002875+(AD43-1)*0.0008083))),"")</f>
        <v>1.5253532699194929</v>
      </c>
      <c r="AF43" s="87"/>
      <c r="AG43" s="87"/>
      <c r="AH43" s="87"/>
      <c r="AI43" s="87"/>
    </row>
    <row r="44" spans="1:35">
      <c r="A44" s="42" t="s">
        <v>112</v>
      </c>
      <c r="B44" s="187">
        <v>2.9784000000000002</v>
      </c>
      <c r="C44" s="187">
        <v>-2.7827999999999999</v>
      </c>
      <c r="D44" s="172">
        <v>5.23</v>
      </c>
      <c r="E44" s="172">
        <v>0</v>
      </c>
      <c r="F44" s="172">
        <v>0.04</v>
      </c>
      <c r="G44" s="188">
        <f>IF($AH$3&gt;0.5,($AH$2+2415019)+((((HOUR($AH$3)*60)+MINUTE($AH$3))/1440+DAY($AH$2))-0.5)-DAY($AH$2),($AH$2+2415019)+((((HOUR($AH$3)*60)+MINUTE($AH$3))/1440+DAY($AH$2))-1.5)-DAY($AH$2)+1)</f>
        <v>2461051.9375</v>
      </c>
      <c r="H44" s="188">
        <f>IF((G44-ROUNDDOWN(G44,0))&lt;0.5,ROUNDDOWN(G44,0)-0.5,ROUNDDOWN(G44,0)+0.5)</f>
        <v>2461051.5</v>
      </c>
      <c r="I44" s="188">
        <f>$AH$3*24</f>
        <v>10.5</v>
      </c>
      <c r="J44" s="188">
        <f>G44-2451545</f>
        <v>9506.9375</v>
      </c>
      <c r="K44" s="188">
        <f>G44-2451545</f>
        <v>9506.9375</v>
      </c>
      <c r="L44" s="188">
        <f>AVERAGE(H44-2451545)/36525</f>
        <v>0.26027378507871324</v>
      </c>
      <c r="M44" s="188">
        <f>6.697374558+(0.065707485828*K44)+(1.0027379093*I44)+(0.0854103*L44)+(0.000025862*L44*L44)</f>
        <v>641.92531546860243</v>
      </c>
      <c r="N44" s="188">
        <f>M44-24*(ROUNDDOWN(M44/24,0))</f>
        <v>17.925315468602435</v>
      </c>
      <c r="O44" s="188">
        <f>125.04-0.052954*J44</f>
        <v>-378.39036837499998</v>
      </c>
      <c r="P44" s="188">
        <f>280.47+0.98565*J44</f>
        <v>9650.9829468749995</v>
      </c>
      <c r="Q44" s="188">
        <f>23.4393-0.0000004*J44</f>
        <v>23.435497224999999</v>
      </c>
      <c r="R44" s="188">
        <f>-0.000319*SIN(RADIANS(O44))-0.000024*SIN((RADIANS(2*P44)))</f>
        <v>1.1668967270040724E-4</v>
      </c>
      <c r="S44" s="188">
        <f>N44+R44*COS(RADIANS(Q44))</f>
        <v>17.925422532357235</v>
      </c>
      <c r="T44" s="188">
        <f>S44-'Data Entry-V'!$F$9/15</f>
        <v>29.556533643468349</v>
      </c>
      <c r="U44" s="188">
        <f>IF(T44&lt;0,T44+24,IF(T44&gt;24,T44-24,T44))</f>
        <v>5.5565336434683488</v>
      </c>
      <c r="V44" s="188">
        <f>U44-B44</f>
        <v>2.5781336434683486</v>
      </c>
      <c r="W44" s="188">
        <f>V44*15</f>
        <v>38.67200465202523</v>
      </c>
      <c r="X44" s="188">
        <f>IF(W44&lt;0,W44+360,W44)</f>
        <v>38.67200465202523</v>
      </c>
      <c r="Y44" s="188">
        <f>-SIN(RADIANS(X44))</f>
        <v>-0.62486125483571098</v>
      </c>
      <c r="Z44" s="188">
        <f>TAN(RADIANS(C44))*COS(RADIANS('Data Entry-V'!$F$8))-SIN(RADIANS('Data Entry-V'!$F$8))*COS(RADIANS(X44))</f>
        <v>0.42913839800887549</v>
      </c>
      <c r="AA44" s="188">
        <f>DEGREES(ATAN2(Z44,Y44))</f>
        <v>-55.519736722144678</v>
      </c>
      <c r="AB44" s="126">
        <f>IF(AA44&lt;0,AA44+360,AA44)</f>
        <v>304.48026327785533</v>
      </c>
      <c r="AC44" s="126">
        <f>DEGREES(ASIN((SIN(RADIANS('Data Entry-V'!$F$8))*SIN(RADIANS(C44)))+(COS(RADIANS('Data Entry-V'!$F$8))*COS(RADIANS(C44))*COS(RADIANS((U44-B44)*15)))))</f>
        <v>40.787522851941603</v>
      </c>
      <c r="AD44" s="188">
        <f>1/(COS((4*ATAN(1))/2-(AC44*(4*ATAN(1))/180)))</f>
        <v>1.5307940507843678</v>
      </c>
      <c r="AE44" s="188">
        <f>IF(AC44&gt;10,AD44-((AD44-1)*(0.0018161+(AD44-1)*(0.002875+(AD44-1)*0.0008083))),"")</f>
        <v>1.5288991875652014</v>
      </c>
      <c r="AF44" s="87"/>
      <c r="AG44" s="87"/>
      <c r="AH44" s="87"/>
      <c r="AI44" s="87"/>
    </row>
    <row r="45" spans="1:35">
      <c r="A45" s="42" t="s">
        <v>113</v>
      </c>
      <c r="B45" s="187">
        <v>0.88919999999999999</v>
      </c>
      <c r="C45" s="187">
        <v>-57.463099999999997</v>
      </c>
      <c r="D45" s="172">
        <v>4.3600000000000003</v>
      </c>
      <c r="E45" s="172">
        <v>0</v>
      </c>
      <c r="F45" s="172">
        <v>-0.03</v>
      </c>
      <c r="G45" s="188">
        <f>IF($AH$3&gt;0.5,($AH$2+2415019)+((((HOUR($AH$3)*60)+MINUTE($AH$3))/1440+DAY($AH$2))-0.5)-DAY($AH$2),($AH$2+2415019)+((((HOUR($AH$3)*60)+MINUTE($AH$3))/1440+DAY($AH$2))-1.5)-DAY($AH$2)+1)</f>
        <v>2461051.9375</v>
      </c>
      <c r="H45" s="188">
        <f>IF((G45-ROUNDDOWN(G45,0))&lt;0.5,ROUNDDOWN(G45,0)-0.5,ROUNDDOWN(G45,0)+0.5)</f>
        <v>2461051.5</v>
      </c>
      <c r="I45" s="188">
        <f>$AH$3*24</f>
        <v>10.5</v>
      </c>
      <c r="J45" s="188">
        <f>G45-2451545</f>
        <v>9506.9375</v>
      </c>
      <c r="K45" s="188">
        <f>G45-2451545</f>
        <v>9506.9375</v>
      </c>
      <c r="L45" s="188">
        <f>AVERAGE(H45-2451545)/36525</f>
        <v>0.26027378507871324</v>
      </c>
      <c r="M45" s="188">
        <f>6.697374558+(0.065707485828*K45)+(1.0027379093*I45)+(0.0854103*L45)+(0.000025862*L45*L45)</f>
        <v>641.92531546860243</v>
      </c>
      <c r="N45" s="188">
        <f>M45-24*(ROUNDDOWN(M45/24,0))</f>
        <v>17.925315468602435</v>
      </c>
      <c r="O45" s="188">
        <f>125.04-0.052954*J45</f>
        <v>-378.39036837499998</v>
      </c>
      <c r="P45" s="188">
        <f>280.47+0.98565*J45</f>
        <v>9650.9829468749995</v>
      </c>
      <c r="Q45" s="188">
        <f>23.4393-0.0000004*J45</f>
        <v>23.435497224999999</v>
      </c>
      <c r="R45" s="188">
        <f>-0.000319*SIN(RADIANS(O45))-0.000024*SIN((RADIANS(2*P45)))</f>
        <v>1.1668967270040724E-4</v>
      </c>
      <c r="S45" s="188">
        <f>N45+R45*COS(RADIANS(Q45))</f>
        <v>17.925422532357235</v>
      </c>
      <c r="T45" s="188">
        <f>S45-'Data Entry-V'!$F$9/15</f>
        <v>29.556533643468349</v>
      </c>
      <c r="U45" s="188">
        <f>IF(T45&lt;0,T45+24,IF(T45&gt;24,T45-24,T45))</f>
        <v>5.5565336434683488</v>
      </c>
      <c r="V45" s="188">
        <f>U45-B45</f>
        <v>4.667333643468349</v>
      </c>
      <c r="W45" s="188">
        <f>V45*15</f>
        <v>70.010004652025231</v>
      </c>
      <c r="X45" s="188">
        <f>IF(W45&lt;0,W45+360,W45)</f>
        <v>70.010004652025231</v>
      </c>
      <c r="Y45" s="188">
        <f>-SIN(RADIANS(X45))</f>
        <v>-0.93975232800573549</v>
      </c>
      <c r="Z45" s="188">
        <f>TAN(RADIANS(C45))*COS(RADIANS('Data Entry-V'!$F$8))-SIN(RADIANS('Data Entry-V'!$F$8))*COS(RADIANS(X45))</f>
        <v>-1.0496264455300768</v>
      </c>
      <c r="AA45" s="188">
        <f>DEGREES(ATAN2(Z45,Y45))</f>
        <v>-138.16125511889453</v>
      </c>
      <c r="AB45" s="126">
        <f>IF(AA45&lt;0,AA45+360,AA45)</f>
        <v>221.83874488110547</v>
      </c>
      <c r="AC45" s="126">
        <f>DEGREES(ASIN((SIN(RADIANS('Data Entry-V'!$F$8))*SIN(RADIANS(C45)))+(COS(RADIANS('Data Entry-V'!$F$8))*COS(RADIANS(C45))*COS(RADIANS((U45-B45)*15)))))</f>
        <v>40.734805195850974</v>
      </c>
      <c r="AD45" s="188">
        <f>1/(COS((4*ATAN(1))/2-(AC45*(4*ATAN(1))/180)))</f>
        <v>1.5324288992639288</v>
      </c>
      <c r="AE45" s="188">
        <f>IF(AC45&gt;10,AD45-((AD45-1)*(0.0018161+(AD45-1)*(0.002875+(AD45-1)*0.0008083))),"")</f>
        <v>1.5305249492800441</v>
      </c>
      <c r="AF45" s="87"/>
      <c r="AG45" s="87"/>
      <c r="AH45" s="87"/>
      <c r="AI45" s="87"/>
    </row>
    <row r="46" spans="1:35">
      <c r="A46" s="42" t="s">
        <v>114</v>
      </c>
      <c r="B46" s="187">
        <v>2.9437000000000002</v>
      </c>
      <c r="C46" s="187">
        <v>-2.3123</v>
      </c>
      <c r="D46" s="172">
        <v>5.16</v>
      </c>
      <c r="E46" s="172">
        <v>0.08</v>
      </c>
      <c r="F46" s="172">
        <v>0.06</v>
      </c>
      <c r="G46" s="188">
        <f>IF($AH$3&gt;0.5,($AH$2+2415019)+((((HOUR($AH$3)*60)+MINUTE($AH$3))/1440+DAY($AH$2))-0.5)-DAY($AH$2),($AH$2+2415019)+((((HOUR($AH$3)*60)+MINUTE($AH$3))/1440+DAY($AH$2))-1.5)-DAY($AH$2)+1)</f>
        <v>2461051.9375</v>
      </c>
      <c r="H46" s="188">
        <f>IF((G46-ROUNDDOWN(G46,0))&lt;0.5,ROUNDDOWN(G46,0)-0.5,ROUNDDOWN(G46,0)+0.5)</f>
        <v>2461051.5</v>
      </c>
      <c r="I46" s="188">
        <f>$AH$3*24</f>
        <v>10.5</v>
      </c>
      <c r="J46" s="188">
        <f>G46-2451545</f>
        <v>9506.9375</v>
      </c>
      <c r="K46" s="188">
        <f>G46-2451545</f>
        <v>9506.9375</v>
      </c>
      <c r="L46" s="188">
        <f>AVERAGE(H46-2451545)/36525</f>
        <v>0.26027378507871324</v>
      </c>
      <c r="M46" s="188">
        <f>6.697374558+(0.065707485828*K46)+(1.0027379093*I46)+(0.0854103*L46)+(0.000025862*L46*L46)</f>
        <v>641.92531546860243</v>
      </c>
      <c r="N46" s="188">
        <f>M46-24*(ROUNDDOWN(M46/24,0))</f>
        <v>17.925315468602435</v>
      </c>
      <c r="O46" s="188">
        <f>125.04-0.052954*J46</f>
        <v>-378.39036837499998</v>
      </c>
      <c r="P46" s="188">
        <f>280.47+0.98565*J46</f>
        <v>9650.9829468749995</v>
      </c>
      <c r="Q46" s="188">
        <f>23.4393-0.0000004*J46</f>
        <v>23.435497224999999</v>
      </c>
      <c r="R46" s="188">
        <f>-0.000319*SIN(RADIANS(O46))-0.000024*SIN((RADIANS(2*P46)))</f>
        <v>1.1668967270040724E-4</v>
      </c>
      <c r="S46" s="188">
        <f>N46+R46*COS(RADIANS(Q46))</f>
        <v>17.925422532357235</v>
      </c>
      <c r="T46" s="188">
        <f>S46-'Data Entry-V'!$F$9/15</f>
        <v>29.556533643468349</v>
      </c>
      <c r="U46" s="188">
        <f>IF(T46&lt;0,T46+24,IF(T46&gt;24,T46-24,T46))</f>
        <v>5.5565336434683488</v>
      </c>
      <c r="V46" s="188">
        <f>U46-B46</f>
        <v>2.6128336434683486</v>
      </c>
      <c r="W46" s="188">
        <f>V46*15</f>
        <v>39.192504652025228</v>
      </c>
      <c r="X46" s="188">
        <f>IF(W46&lt;0,W46+360,W46)</f>
        <v>39.192504652025228</v>
      </c>
      <c r="Y46" s="188">
        <f>-SIN(RADIANS(X46))</f>
        <v>-0.63192792018085864</v>
      </c>
      <c r="Z46" s="188">
        <f>TAN(RADIANS(C46))*COS(RADIANS('Data Entry-V'!$F$8))-SIN(RADIANS('Data Entry-V'!$F$8))*COS(RADIANS(X46))</f>
        <v>0.43230173271709854</v>
      </c>
      <c r="AA46" s="188">
        <f>DEGREES(ATAN2(Z46,Y46))</f>
        <v>-55.623978624005083</v>
      </c>
      <c r="AB46" s="126">
        <f>IF(AA46&lt;0,AA46+360,AA46)</f>
        <v>304.37602137599492</v>
      </c>
      <c r="AC46" s="126">
        <f>DEGREES(ASIN((SIN(RADIANS('Data Entry-V'!$F$8))*SIN(RADIANS(C46)))+(COS(RADIANS('Data Entry-V'!$F$8))*COS(RADIANS(C46))*COS(RADIANS((U46-B46)*15)))))</f>
        <v>40.090773653714912</v>
      </c>
      <c r="AD46" s="188">
        <f>1/(COS((4*ATAN(1))/2-(AC46*(4*ATAN(1))/180)))</f>
        <v>1.5527939556130181</v>
      </c>
      <c r="AE46" s="188">
        <f>IF(AC46&gt;10,AD46-((AD46-1)*(0.0018161+(AD46-1)*(0.002875+(AD46-1)*0.0008083))),"")</f>
        <v>1.5507749398850625</v>
      </c>
      <c r="AF46" s="87"/>
      <c r="AG46" s="87"/>
      <c r="AH46" s="87"/>
      <c r="AI46" s="87"/>
    </row>
    <row r="47" spans="1:35">
      <c r="A47" s="42" t="s">
        <v>115</v>
      </c>
      <c r="B47" s="187">
        <v>10.505599999999999</v>
      </c>
      <c r="C47" s="187">
        <v>-71.992800000000003</v>
      </c>
      <c r="D47" s="172">
        <v>4.7300000000000004</v>
      </c>
      <c r="E47" s="172">
        <v>0.03</v>
      </c>
      <c r="F47" s="172">
        <v>7.0000000000000007E-2</v>
      </c>
      <c r="G47" s="188">
        <f>IF($AH$3&gt;0.5,($AH$2+2415019)+((((HOUR($AH$3)*60)+MINUTE($AH$3))/1440+DAY($AH$2))-0.5)-DAY($AH$2),($AH$2+2415019)+((((HOUR($AH$3)*60)+MINUTE($AH$3))/1440+DAY($AH$2))-1.5)-DAY($AH$2)+1)</f>
        <v>2461051.9375</v>
      </c>
      <c r="H47" s="188">
        <f>IF((G47-ROUNDDOWN(G47,0))&lt;0.5,ROUNDDOWN(G47,0)-0.5,ROUNDDOWN(G47,0)+0.5)</f>
        <v>2461051.5</v>
      </c>
      <c r="I47" s="188">
        <f>$AH$3*24</f>
        <v>10.5</v>
      </c>
      <c r="J47" s="188">
        <f>G47-2451545</f>
        <v>9506.9375</v>
      </c>
      <c r="K47" s="188">
        <f>G47-2451545</f>
        <v>9506.9375</v>
      </c>
      <c r="L47" s="188">
        <f>AVERAGE(H47-2451545)/36525</f>
        <v>0.26027378507871324</v>
      </c>
      <c r="M47" s="188">
        <f>6.697374558+(0.065707485828*K47)+(1.0027379093*I47)+(0.0854103*L47)+(0.000025862*L47*L47)</f>
        <v>641.92531546860243</v>
      </c>
      <c r="N47" s="188">
        <f>M47-24*(ROUNDDOWN(M47/24,0))</f>
        <v>17.925315468602435</v>
      </c>
      <c r="O47" s="188">
        <f>125.04-0.052954*J47</f>
        <v>-378.39036837499998</v>
      </c>
      <c r="P47" s="188">
        <f>280.47+0.98565*J47</f>
        <v>9650.9829468749995</v>
      </c>
      <c r="Q47" s="188">
        <f>23.4393-0.0000004*J47</f>
        <v>23.435497224999999</v>
      </c>
      <c r="R47" s="188">
        <f>-0.000319*SIN(RADIANS(O47))-0.000024*SIN((RADIANS(2*P47)))</f>
        <v>1.1668967270040724E-4</v>
      </c>
      <c r="S47" s="188">
        <f>N47+R47*COS(RADIANS(Q47))</f>
        <v>17.925422532357235</v>
      </c>
      <c r="T47" s="188">
        <f>S47-'Data Entry-V'!$F$9/15</f>
        <v>29.556533643468349</v>
      </c>
      <c r="U47" s="188">
        <f>IF(T47&lt;0,T47+24,IF(T47&gt;24,T47-24,T47))</f>
        <v>5.5565336434683488</v>
      </c>
      <c r="V47" s="188">
        <f>U47-B47</f>
        <v>-4.9490663565316506</v>
      </c>
      <c r="W47" s="188">
        <f>V47*15</f>
        <v>-74.235995347974765</v>
      </c>
      <c r="X47" s="188">
        <f>IF(W47&lt;0,W47+360,W47)</f>
        <v>285.76400465202522</v>
      </c>
      <c r="Y47" s="188">
        <f>-SIN(RADIANS(X47))</f>
        <v>0.9623888602503764</v>
      </c>
      <c r="Z47" s="188">
        <f>TAN(RADIANS(C47))*COS(RADIANS('Data Entry-V'!$F$8))-SIN(RADIANS('Data Entry-V'!$F$8))*COS(RADIANS(X47))</f>
        <v>-2.299405222361286</v>
      </c>
      <c r="AA47" s="188">
        <f>DEGREES(ATAN2(Z47,Y47))</f>
        <v>157.28882873271664</v>
      </c>
      <c r="AB47" s="126">
        <f>IF(AA47&lt;0,AA47+360,AA47)</f>
        <v>157.28882873271664</v>
      </c>
      <c r="AC47" s="126">
        <f>DEGREES(ASIN((SIN(RADIANS('Data Entry-V'!$F$8))*SIN(RADIANS(C47)))+(COS(RADIANS('Data Entry-V'!$F$8))*COS(RADIANS(C47))*COS(RADIANS((U47-B47)*15)))))</f>
        <v>39.594126988949618</v>
      </c>
      <c r="AD47" s="188">
        <f>1/(COS((4*ATAN(1))/2-(AC47*(4*ATAN(1))/180)))</f>
        <v>1.5690089202709905</v>
      </c>
      <c r="AE47" s="188">
        <f>IF(AC47&gt;10,AD47-((AD47-1)*(0.0018161+(AD47-1)*(0.002875+(AD47-1)*0.0008083))),"")</f>
        <v>1.5668957890741784</v>
      </c>
      <c r="AF47" s="87"/>
      <c r="AG47" s="87"/>
      <c r="AH47" s="87"/>
      <c r="AI47" s="87"/>
    </row>
    <row r="48" spans="1:35">
      <c r="A48" s="42" t="s">
        <v>116</v>
      </c>
      <c r="B48" s="187">
        <v>8.6837999999999997</v>
      </c>
      <c r="C48" s="187">
        <v>-9.0519999999999996</v>
      </c>
      <c r="D48" s="172">
        <v>6.62</v>
      </c>
      <c r="E48" s="172">
        <v>-0.02</v>
      </c>
      <c r="F48" s="172">
        <v>0.02</v>
      </c>
      <c r="G48" s="188">
        <f>IF($AH$3&gt;0.5,($AH$2+2415019)+((((HOUR($AH$3)*60)+MINUTE($AH$3))/1440+DAY($AH$2))-0.5)-DAY($AH$2),($AH$2+2415019)+((((HOUR($AH$3)*60)+MINUTE($AH$3))/1440+DAY($AH$2))-1.5)-DAY($AH$2)+1)</f>
        <v>2461051.9375</v>
      </c>
      <c r="H48" s="188">
        <f>IF((G48-ROUNDDOWN(G48,0))&lt;0.5,ROUNDDOWN(G48,0)-0.5,ROUNDDOWN(G48,0)+0.5)</f>
        <v>2461051.5</v>
      </c>
      <c r="I48" s="188">
        <f>$AH$3*24</f>
        <v>10.5</v>
      </c>
      <c r="J48" s="188">
        <f>G48-2451545</f>
        <v>9506.9375</v>
      </c>
      <c r="K48" s="188">
        <f>G48-2451545</f>
        <v>9506.9375</v>
      </c>
      <c r="L48" s="188">
        <f>AVERAGE(H48-2451545)/36525</f>
        <v>0.26027378507871324</v>
      </c>
      <c r="M48" s="188">
        <f>6.697374558+(0.065707485828*K48)+(1.0027379093*I48)+(0.0854103*L48)+(0.000025862*L48*L48)</f>
        <v>641.92531546860243</v>
      </c>
      <c r="N48" s="188">
        <f>M48-24*(ROUNDDOWN(M48/24,0))</f>
        <v>17.925315468602435</v>
      </c>
      <c r="O48" s="188">
        <f>125.04-0.052954*J48</f>
        <v>-378.39036837499998</v>
      </c>
      <c r="P48" s="188">
        <f>280.47+0.98565*J48</f>
        <v>9650.9829468749995</v>
      </c>
      <c r="Q48" s="188">
        <f>23.4393-0.0000004*J48</f>
        <v>23.435497224999999</v>
      </c>
      <c r="R48" s="188">
        <f>-0.000319*SIN(RADIANS(O48))-0.000024*SIN((RADIANS(2*P48)))</f>
        <v>1.1668967270040724E-4</v>
      </c>
      <c r="S48" s="188">
        <f>N48+R48*COS(RADIANS(Q48))</f>
        <v>17.925422532357235</v>
      </c>
      <c r="T48" s="188">
        <f>S48-'Data Entry-V'!$F$9/15</f>
        <v>29.556533643468349</v>
      </c>
      <c r="U48" s="188">
        <f>IF(T48&lt;0,T48+24,IF(T48&gt;24,T48-24,T48))</f>
        <v>5.5565336434683488</v>
      </c>
      <c r="V48" s="188">
        <f>U48-B48</f>
        <v>-3.127266356531651</v>
      </c>
      <c r="W48" s="188">
        <f>V48*15</f>
        <v>-46.908995347974766</v>
      </c>
      <c r="X48" s="188">
        <f>IF(W48&lt;0,W48+360,W48)</f>
        <v>313.09100465202522</v>
      </c>
      <c r="Y48" s="188">
        <f>-SIN(RADIANS(X48))</f>
        <v>0.73026954053784021</v>
      </c>
      <c r="Z48" s="188">
        <f>TAN(RADIANS(C48))*COS(RADIANS('Data Entry-V'!$F$8))-SIN(RADIANS('Data Entry-V'!$F$8))*COS(RADIANS(X48))</f>
        <v>0.28203371322225179</v>
      </c>
      <c r="AA48" s="188">
        <f>DEGREES(ATAN2(Z48,Y48))</f>
        <v>68.883192263659041</v>
      </c>
      <c r="AB48" s="126">
        <f>IF(AA48&lt;0,AA48+360,AA48)</f>
        <v>68.883192263659041</v>
      </c>
      <c r="AC48" s="126">
        <f>DEGREES(ASIN((SIN(RADIANS('Data Entry-V'!$F$8))*SIN(RADIANS(C48)))+(COS(RADIANS('Data Entry-V'!$F$8))*COS(RADIANS(C48))*COS(RADIANS((U48-B48)*15)))))</f>
        <v>39.367877252429132</v>
      </c>
      <c r="AD48" s="188">
        <f>1/(COS((4*ATAN(1))/2-(AC48*(4*ATAN(1))/180)))</f>
        <v>1.5765480726145433</v>
      </c>
      <c r="AE48" s="188">
        <f>IF(AC48&gt;10,AD48-((AD48-1)*(0.0018161+(AD48-1)*(0.002875+(AD48-1)*0.0008083))),"")</f>
        <v>1.5743904216872082</v>
      </c>
      <c r="AF48" s="87"/>
      <c r="AG48" s="87"/>
      <c r="AH48" s="87"/>
      <c r="AI48" s="87"/>
    </row>
    <row r="49" spans="1:35">
      <c r="A49" s="42" t="s">
        <v>117</v>
      </c>
      <c r="B49" s="187">
        <v>2.2578999999999998</v>
      </c>
      <c r="C49" s="187">
        <v>-9.4664999999999999</v>
      </c>
      <c r="D49" s="172">
        <v>6.54</v>
      </c>
      <c r="E49" s="172">
        <v>-0.01</v>
      </c>
      <c r="F49" s="172">
        <v>-7.0000000000000007E-2</v>
      </c>
      <c r="G49" s="188">
        <f>IF($AH$3&gt;0.5,($AH$2+2415019)+((((HOUR($AH$3)*60)+MINUTE($AH$3))/1440+DAY($AH$2))-0.5)-DAY($AH$2),($AH$2+2415019)+((((HOUR($AH$3)*60)+MINUTE($AH$3))/1440+DAY($AH$2))-1.5)-DAY($AH$2)+1)</f>
        <v>2461051.9375</v>
      </c>
      <c r="H49" s="188">
        <f>IF((G49-ROUNDDOWN(G49,0))&lt;0.5,ROUNDDOWN(G49,0)-0.5,ROUNDDOWN(G49,0)+0.5)</f>
        <v>2461051.5</v>
      </c>
      <c r="I49" s="188">
        <f>$AH$3*24</f>
        <v>10.5</v>
      </c>
      <c r="J49" s="188">
        <f>G49-2451545</f>
        <v>9506.9375</v>
      </c>
      <c r="K49" s="188">
        <f>G49-2451545</f>
        <v>9506.9375</v>
      </c>
      <c r="L49" s="188">
        <f>AVERAGE(H49-2451545)/36525</f>
        <v>0.26027378507871324</v>
      </c>
      <c r="M49" s="188">
        <f>6.697374558+(0.065707485828*K49)+(1.0027379093*I49)+(0.0854103*L49)+(0.000025862*L49*L49)</f>
        <v>641.92531546860243</v>
      </c>
      <c r="N49" s="188">
        <f>M49-24*(ROUNDDOWN(M49/24,0))</f>
        <v>17.925315468602435</v>
      </c>
      <c r="O49" s="188">
        <f>125.04-0.052954*J49</f>
        <v>-378.39036837499998</v>
      </c>
      <c r="P49" s="188">
        <f>280.47+0.98565*J49</f>
        <v>9650.9829468749995</v>
      </c>
      <c r="Q49" s="188">
        <f>23.4393-0.0000004*J49</f>
        <v>23.435497224999999</v>
      </c>
      <c r="R49" s="188">
        <f>-0.000319*SIN(RADIANS(O49))-0.000024*SIN((RADIANS(2*P49)))</f>
        <v>1.1668967270040724E-4</v>
      </c>
      <c r="S49" s="188">
        <f>N49+R49*COS(RADIANS(Q49))</f>
        <v>17.925422532357235</v>
      </c>
      <c r="T49" s="188">
        <f>S49-'Data Entry-V'!$F$9/15</f>
        <v>29.556533643468349</v>
      </c>
      <c r="U49" s="188">
        <f>IF(T49&lt;0,T49+24,IF(T49&gt;24,T49-24,T49))</f>
        <v>5.5565336434683488</v>
      </c>
      <c r="V49" s="188">
        <f>U49-B49</f>
        <v>3.298633643468349</v>
      </c>
      <c r="W49" s="188">
        <f>V49*15</f>
        <v>49.479504652025234</v>
      </c>
      <c r="X49" s="188">
        <f>IF(W49&lt;0,W49+360,W49)</f>
        <v>49.479504652025234</v>
      </c>
      <c r="Y49" s="188">
        <f>-SIN(RADIANS(X49))</f>
        <v>-0.76017360204728479</v>
      </c>
      <c r="Z49" s="188">
        <f>TAN(RADIANS(C49))*COS(RADIANS('Data Entry-V'!$F$8))-SIN(RADIANS('Data Entry-V'!$F$8))*COS(RADIANS(X49))</f>
        <v>0.25604311826467574</v>
      </c>
      <c r="AA49" s="188">
        <f>DEGREES(ATAN2(Z49,Y49))</f>
        <v>-71.385347619772631</v>
      </c>
      <c r="AB49" s="126">
        <f>IF(AA49&lt;0,AA49+360,AA49)</f>
        <v>288.61465238022737</v>
      </c>
      <c r="AC49" s="126">
        <f>DEGREES(ASIN((SIN(RADIANS('Data Entry-V'!$F$8))*SIN(RADIANS(C49)))+(COS(RADIANS('Data Entry-V'!$F$8))*COS(RADIANS(C49))*COS(RADIANS((U49-B49)*15)))))</f>
        <v>37.701047852343194</v>
      </c>
      <c r="AD49" s="188">
        <f>1/(COS((4*ATAN(1))/2-(AC49*(4*ATAN(1))/180)))</f>
        <v>1.6352119734617723</v>
      </c>
      <c r="AE49" s="188">
        <f>IF(AC49&gt;10,AD49-((AD49-1)*(0.0018161+(AD49-1)*(0.002875+(AD49-1)*0.0008083))),"")</f>
        <v>1.6326911481944506</v>
      </c>
      <c r="AF49" s="87"/>
      <c r="AG49" s="87"/>
      <c r="AH49" s="87"/>
      <c r="AI49" s="87"/>
    </row>
    <row r="50" spans="1:35">
      <c r="A50" s="42" t="s">
        <v>118</v>
      </c>
      <c r="B50" s="187">
        <v>8.5670999999999999</v>
      </c>
      <c r="C50" s="187">
        <v>-2.1516000000000002</v>
      </c>
      <c r="D50" s="172">
        <v>5.8</v>
      </c>
      <c r="E50" s="172">
        <v>0</v>
      </c>
      <c r="F50" s="172">
        <v>0</v>
      </c>
      <c r="G50" s="188">
        <f>IF($AH$3&gt;0.5,($AH$2+2415019)+((((HOUR($AH$3)*60)+MINUTE($AH$3))/1440+DAY($AH$2))-0.5)-DAY($AH$2),($AH$2+2415019)+((((HOUR($AH$3)*60)+MINUTE($AH$3))/1440+DAY($AH$2))-1.5)-DAY($AH$2)+1)</f>
        <v>2461051.9375</v>
      </c>
      <c r="H50" s="188">
        <f>IF((G50-ROUNDDOWN(G50,0))&lt;0.5,ROUNDDOWN(G50,0)-0.5,ROUNDDOWN(G50,0)+0.5)</f>
        <v>2461051.5</v>
      </c>
      <c r="I50" s="188">
        <f>$AH$3*24</f>
        <v>10.5</v>
      </c>
      <c r="J50" s="188">
        <f>G50-2451545</f>
        <v>9506.9375</v>
      </c>
      <c r="K50" s="188">
        <f>G50-2451545</f>
        <v>9506.9375</v>
      </c>
      <c r="L50" s="188">
        <f>AVERAGE(H50-2451545)/36525</f>
        <v>0.26027378507871324</v>
      </c>
      <c r="M50" s="188">
        <f>6.697374558+(0.065707485828*K50)+(1.0027379093*I50)+(0.0854103*L50)+(0.000025862*L50*L50)</f>
        <v>641.92531546860243</v>
      </c>
      <c r="N50" s="188">
        <f>M50-24*(ROUNDDOWN(M50/24,0))</f>
        <v>17.925315468602435</v>
      </c>
      <c r="O50" s="188">
        <f>125.04-0.052954*J50</f>
        <v>-378.39036837499998</v>
      </c>
      <c r="P50" s="188">
        <f>280.47+0.98565*J50</f>
        <v>9650.9829468749995</v>
      </c>
      <c r="Q50" s="188">
        <f>23.4393-0.0000004*J50</f>
        <v>23.435497224999999</v>
      </c>
      <c r="R50" s="188">
        <f>-0.000319*SIN(RADIANS(O50))-0.000024*SIN((RADIANS(2*P50)))</f>
        <v>1.1668967270040724E-4</v>
      </c>
      <c r="S50" s="188">
        <f>N50+R50*COS(RADIANS(Q50))</f>
        <v>17.925422532357235</v>
      </c>
      <c r="T50" s="188">
        <f>S50-'Data Entry-V'!$F$9/15</f>
        <v>29.556533643468349</v>
      </c>
      <c r="U50" s="188">
        <f>IF(T50&lt;0,T50+24,IF(T50&gt;24,T50-24,T50))</f>
        <v>5.5565336434683488</v>
      </c>
      <c r="V50" s="188">
        <f>U50-B50</f>
        <v>-3.0105663565316512</v>
      </c>
      <c r="W50" s="188">
        <f>V50*15</f>
        <v>-45.158495347974764</v>
      </c>
      <c r="X50" s="188">
        <f>IF(W50&lt;0,W50+360,W50)</f>
        <v>314.84150465202526</v>
      </c>
      <c r="Y50" s="188">
        <f>-SIN(RADIANS(X50))</f>
        <v>0.70906011843793293</v>
      </c>
      <c r="Z50" s="188">
        <f>TAN(RADIANS(C50))*COS(RADIANS('Data Entry-V'!$F$8))-SIN(RADIANS('Data Entry-V'!$F$8))*COS(RADIANS(X50))</f>
        <v>0.39265821905775622</v>
      </c>
      <c r="AA50" s="188">
        <f>DEGREES(ATAN2(Z50,Y50))</f>
        <v>61.023507950760852</v>
      </c>
      <c r="AB50" s="126">
        <f>IF(AA50&lt;0,AA50+360,AA50)</f>
        <v>61.023507950760852</v>
      </c>
      <c r="AC50" s="126">
        <f>DEGREES(ASIN((SIN(RADIANS('Data Entry-V'!$F$8))*SIN(RADIANS(C50)))+(COS(RADIANS('Data Entry-V'!$F$8))*COS(RADIANS(C50))*COS(RADIANS((U50-B50)*15)))))</f>
        <v>35.908848414017484</v>
      </c>
      <c r="AD50" s="188">
        <f>1/(COS((4*ATAN(1))/2-(AC50*(4*ATAN(1))/180)))</f>
        <v>1.7050372579731432</v>
      </c>
      <c r="AE50" s="188">
        <f>IF(AC50&gt;10,AD50-((AD50-1)*(0.0018161+(AD50-1)*(0.002875+(AD50-1)*0.0008083))),"")</f>
        <v>1.7020444665466303</v>
      </c>
      <c r="AF50" s="87"/>
      <c r="AG50" s="87"/>
      <c r="AH50" s="87"/>
      <c r="AI50" s="87"/>
    </row>
    <row r="51" spans="1:35">
      <c r="A51" s="42" t="s">
        <v>33</v>
      </c>
      <c r="B51" s="187">
        <v>8.0205000000000002</v>
      </c>
      <c r="C51" s="187">
        <v>4.8666999999999998</v>
      </c>
      <c r="D51" s="172">
        <v>5.64</v>
      </c>
      <c r="E51" s="172">
        <v>0.08</v>
      </c>
      <c r="F51" s="172">
        <v>0.01</v>
      </c>
      <c r="G51" s="188">
        <f>IF($AH$3&gt;0.5,($AH$2+2415019)+((((HOUR($AH$3)*60)+MINUTE($AH$3))/1440+DAY($AH$2))-0.5)-DAY($AH$2),($AH$2+2415019)+((((HOUR($AH$3)*60)+MINUTE($AH$3))/1440+DAY($AH$2))-1.5)-DAY($AH$2)+1)</f>
        <v>2461051.9375</v>
      </c>
      <c r="H51" s="188">
        <f>IF((G51-ROUNDDOWN(G51,0))&lt;0.5,ROUNDDOWN(G51,0)-0.5,ROUNDDOWN(G51,0)+0.5)</f>
        <v>2461051.5</v>
      </c>
      <c r="I51" s="188">
        <f>$AH$3*24</f>
        <v>10.5</v>
      </c>
      <c r="J51" s="188">
        <f>G51-2451545</f>
        <v>9506.9375</v>
      </c>
      <c r="K51" s="188">
        <f>G51-2451545</f>
        <v>9506.9375</v>
      </c>
      <c r="L51" s="188">
        <f>AVERAGE(H51-2451545)/36525</f>
        <v>0.26027378507871324</v>
      </c>
      <c r="M51" s="188">
        <f>6.697374558+(0.065707485828*K51)+(1.0027379093*I51)+(0.0854103*L51)+(0.000025862*L51*L51)</f>
        <v>641.92531546860243</v>
      </c>
      <c r="N51" s="188">
        <f>M51-24*(ROUNDDOWN(M51/24,0))</f>
        <v>17.925315468602435</v>
      </c>
      <c r="O51" s="188">
        <f>125.04-0.052954*J51</f>
        <v>-378.39036837499998</v>
      </c>
      <c r="P51" s="188">
        <f>280.47+0.98565*J51</f>
        <v>9650.9829468749995</v>
      </c>
      <c r="Q51" s="188">
        <f>23.4393-0.0000004*J51</f>
        <v>23.435497224999999</v>
      </c>
      <c r="R51" s="188">
        <f>-0.000319*SIN(RADIANS(O51))-0.000024*SIN((RADIANS(2*P51)))</f>
        <v>1.1668967270040724E-4</v>
      </c>
      <c r="S51" s="188">
        <f>N51+R51*COS(RADIANS(Q51))</f>
        <v>17.925422532357235</v>
      </c>
      <c r="T51" s="188">
        <f>S51-'Data Entry-V'!$F$9/15</f>
        <v>29.556533643468349</v>
      </c>
      <c r="U51" s="188">
        <f>IF(T51&lt;0,T51+24,IF(T51&gt;24,T51-24,T51))</f>
        <v>5.5565336434683488</v>
      </c>
      <c r="V51" s="188">
        <f>U51-B51</f>
        <v>-2.4639663565316514</v>
      </c>
      <c r="W51" s="188">
        <f>V51*15</f>
        <v>-36.959495347974773</v>
      </c>
      <c r="X51" s="188">
        <f>IF(W51&lt;0,W51+360,W51)</f>
        <v>323.04050465202522</v>
      </c>
      <c r="Y51" s="188">
        <f>-SIN(RADIANS(X51))</f>
        <v>0.60125028579621409</v>
      </c>
      <c r="Z51" s="188">
        <f>TAN(RADIANS(C51))*COS(RADIANS('Data Entry-V'!$F$8))-SIN(RADIANS('Data Entry-V'!$F$8))*COS(RADIANS(X51))</f>
        <v>0.54717684083821971</v>
      </c>
      <c r="AA51" s="188">
        <f>DEGREES(ATAN2(Z51,Y51))</f>
        <v>47.695768514418276</v>
      </c>
      <c r="AB51" s="126">
        <f>IF(AA51&lt;0,AA51+360,AA51)</f>
        <v>47.695768514418276</v>
      </c>
      <c r="AC51" s="126">
        <f>DEGREES(ASIN((SIN(RADIANS('Data Entry-V'!$F$8))*SIN(RADIANS(C51)))+(COS(RADIANS('Data Entry-V'!$F$8))*COS(RADIANS(C51))*COS(RADIANS((U51-B51)*15)))))</f>
        <v>35.901199627502571</v>
      </c>
      <c r="AD51" s="188">
        <f>1/(COS((4*ATAN(1))/2-(AC51*(4*ATAN(1))/180)))</f>
        <v>1.7053516688099153</v>
      </c>
      <c r="AE51" s="188">
        <f>IF(AC51&gt;10,AD51-((AD51-1)*(0.0018161+(AD51-1)*(0.002875+(AD51-1)*0.0008083))),"")</f>
        <v>1.7023566523390701</v>
      </c>
      <c r="AF51" s="87"/>
      <c r="AG51" s="87"/>
      <c r="AH51" s="87"/>
      <c r="AI51" s="87"/>
    </row>
    <row r="52" spans="1:35">
      <c r="A52" s="42" t="s">
        <v>119</v>
      </c>
      <c r="B52" s="187">
        <v>0.52359999999999995</v>
      </c>
      <c r="C52" s="187">
        <v>-48.8035</v>
      </c>
      <c r="D52" s="172">
        <v>4.7699999999999996</v>
      </c>
      <c r="E52" s="172">
        <v>0.01</v>
      </c>
      <c r="F52" s="172">
        <v>0.04</v>
      </c>
      <c r="G52" s="188">
        <f>IF($AH$3&gt;0.5,($AH$2+2415019)+((((HOUR($AH$3)*60)+MINUTE($AH$3))/1440+DAY($AH$2))-0.5)-DAY($AH$2),($AH$2+2415019)+((((HOUR($AH$3)*60)+MINUTE($AH$3))/1440+DAY($AH$2))-1.5)-DAY($AH$2)+1)</f>
        <v>2461051.9375</v>
      </c>
      <c r="H52" s="188">
        <f>IF((G52-ROUNDDOWN(G52,0))&lt;0.5,ROUNDDOWN(G52,0)-0.5,ROUNDDOWN(G52,0)+0.5)</f>
        <v>2461051.5</v>
      </c>
      <c r="I52" s="188">
        <f>$AH$3*24</f>
        <v>10.5</v>
      </c>
      <c r="J52" s="188">
        <f>G52-2451545</f>
        <v>9506.9375</v>
      </c>
      <c r="K52" s="188">
        <f>G52-2451545</f>
        <v>9506.9375</v>
      </c>
      <c r="L52" s="188">
        <f>AVERAGE(H52-2451545)/36525</f>
        <v>0.26027378507871324</v>
      </c>
      <c r="M52" s="188">
        <f>6.697374558+(0.065707485828*K52)+(1.0027379093*I52)+(0.0854103*L52)+(0.000025862*L52*L52)</f>
        <v>641.92531546860243</v>
      </c>
      <c r="N52" s="188">
        <f>M52-24*(ROUNDDOWN(M52/24,0))</f>
        <v>17.925315468602435</v>
      </c>
      <c r="O52" s="188">
        <f>125.04-0.052954*J52</f>
        <v>-378.39036837499998</v>
      </c>
      <c r="P52" s="188">
        <f>280.47+0.98565*J52</f>
        <v>9650.9829468749995</v>
      </c>
      <c r="Q52" s="188">
        <f>23.4393-0.0000004*J52</f>
        <v>23.435497224999999</v>
      </c>
      <c r="R52" s="188">
        <f>-0.000319*SIN(RADIANS(O52))-0.000024*SIN((RADIANS(2*P52)))</f>
        <v>1.1668967270040724E-4</v>
      </c>
      <c r="S52" s="188">
        <f>N52+R52*COS(RADIANS(Q52))</f>
        <v>17.925422532357235</v>
      </c>
      <c r="T52" s="188">
        <f>S52-'Data Entry-V'!$F$9/15</f>
        <v>29.556533643468349</v>
      </c>
      <c r="U52" s="188">
        <f>IF(T52&lt;0,T52+24,IF(T52&gt;24,T52-24,T52))</f>
        <v>5.5565336434683488</v>
      </c>
      <c r="V52" s="188">
        <f>U52-B52</f>
        <v>5.0329336434683487</v>
      </c>
      <c r="W52" s="188">
        <f>V52*15</f>
        <v>75.494004652025225</v>
      </c>
      <c r="X52" s="188">
        <f>IF(W52&lt;0,W52+360,W52)</f>
        <v>75.494004652025225</v>
      </c>
      <c r="Y52" s="188">
        <f>-SIN(RADIANS(X52))</f>
        <v>-0.96812143567435216</v>
      </c>
      <c r="Z52" s="188">
        <f>TAN(RADIANS(C52))*COS(RADIANS('Data Entry-V'!$F$8))-SIN(RADIANS('Data Entry-V'!$F$8))*COS(RADIANS(X52))</f>
        <v>-0.764221657735077</v>
      </c>
      <c r="AA52" s="188">
        <f>DEGREES(ATAN2(Z52,Y52))</f>
        <v>-128.28707358385589</v>
      </c>
      <c r="AB52" s="126">
        <f>IF(AA52&lt;0,AA52+360,AA52)</f>
        <v>231.71292641614411</v>
      </c>
      <c r="AC52" s="126">
        <f>DEGREES(ASIN((SIN(RADIANS('Data Entry-V'!$F$8))*SIN(RADIANS(C52)))+(COS(RADIANS('Data Entry-V'!$F$8))*COS(RADIANS(C52))*COS(RADIANS((U52-B52)*15)))))</f>
        <v>35.671295343082747</v>
      </c>
      <c r="AD52" s="188">
        <f>1/(COS((4*ATAN(1))/2-(AC52*(4*ATAN(1))/180)))</f>
        <v>1.7148708523662837</v>
      </c>
      <c r="AE52" s="188">
        <f>IF(AC52&gt;10,AD52-((AD52-1)*(0.0018161+(AD52-1)*(0.002875+(AD52-1)*0.0008083))),"")</f>
        <v>1.7118080399532618</v>
      </c>
      <c r="AF52" s="87"/>
      <c r="AG52" s="87"/>
      <c r="AH52" s="87"/>
      <c r="AI52" s="87"/>
    </row>
    <row r="53" spans="1:35">
      <c r="A53" s="42" t="s">
        <v>120</v>
      </c>
      <c r="B53" s="187">
        <v>2.3279999999999998</v>
      </c>
      <c r="C53" s="187">
        <v>-4.3456000000000001</v>
      </c>
      <c r="D53" s="172">
        <v>6.5</v>
      </c>
      <c r="E53" s="172">
        <v>7.0000000000000007E-2</v>
      </c>
      <c r="F53" s="172">
        <v>0.08</v>
      </c>
      <c r="G53" s="188">
        <f>IF($AH$3&gt;0.5,($AH$2+2415019)+((((HOUR($AH$3)*60)+MINUTE($AH$3))/1440+DAY($AH$2))-0.5)-DAY($AH$2),($AH$2+2415019)+((((HOUR($AH$3)*60)+MINUTE($AH$3))/1440+DAY($AH$2))-1.5)-DAY($AH$2)+1)</f>
        <v>2461051.9375</v>
      </c>
      <c r="H53" s="188">
        <f>IF((G53-ROUNDDOWN(G53,0))&lt;0.5,ROUNDDOWN(G53,0)-0.5,ROUNDDOWN(G53,0)+0.5)</f>
        <v>2461051.5</v>
      </c>
      <c r="I53" s="188">
        <f>$AH$3*24</f>
        <v>10.5</v>
      </c>
      <c r="J53" s="188">
        <f>G53-2451545</f>
        <v>9506.9375</v>
      </c>
      <c r="K53" s="188">
        <f>G53-2451545</f>
        <v>9506.9375</v>
      </c>
      <c r="L53" s="188">
        <f>AVERAGE(H53-2451545)/36525</f>
        <v>0.26027378507871324</v>
      </c>
      <c r="M53" s="188">
        <f>6.697374558+(0.065707485828*K53)+(1.0027379093*I53)+(0.0854103*L53)+(0.000025862*L53*L53)</f>
        <v>641.92531546860243</v>
      </c>
      <c r="N53" s="188">
        <f>M53-24*(ROUNDDOWN(M53/24,0))</f>
        <v>17.925315468602435</v>
      </c>
      <c r="O53" s="188">
        <f>125.04-0.052954*J53</f>
        <v>-378.39036837499998</v>
      </c>
      <c r="P53" s="188">
        <f>280.47+0.98565*J53</f>
        <v>9650.9829468749995</v>
      </c>
      <c r="Q53" s="188">
        <f>23.4393-0.0000004*J53</f>
        <v>23.435497224999999</v>
      </c>
      <c r="R53" s="188">
        <f>-0.000319*SIN(RADIANS(O53))-0.000024*SIN((RADIANS(2*P53)))</f>
        <v>1.1668967270040724E-4</v>
      </c>
      <c r="S53" s="188">
        <f>N53+R53*COS(RADIANS(Q53))</f>
        <v>17.925422532357235</v>
      </c>
      <c r="T53" s="188">
        <f>S53-'Data Entry-V'!$F$9/15</f>
        <v>29.556533643468349</v>
      </c>
      <c r="U53" s="188">
        <f>IF(T53&lt;0,T53+24,IF(T53&gt;24,T53-24,T53))</f>
        <v>5.5565336434683488</v>
      </c>
      <c r="V53" s="188">
        <f>U53-B53</f>
        <v>3.2285336434683489</v>
      </c>
      <c r="W53" s="188">
        <f>V53*15</f>
        <v>48.428004652025237</v>
      </c>
      <c r="X53" s="188">
        <f>IF(W53&lt;0,W53+360,W53)</f>
        <v>48.428004652025237</v>
      </c>
      <c r="Y53" s="188">
        <f>-SIN(RADIANS(X53))</f>
        <v>-0.74812251062284307</v>
      </c>
      <c r="Z53" s="188">
        <f>TAN(RADIANS(C53))*COS(RADIANS('Data Entry-V'!$F$8))-SIN(RADIANS('Data Entry-V'!$F$8))*COS(RADIANS(X53))</f>
        <v>0.33697580546343076</v>
      </c>
      <c r="AA53" s="188">
        <f>DEGREES(ATAN2(Z53,Y53))</f>
        <v>-65.751834426293883</v>
      </c>
      <c r="AB53" s="126">
        <f>IF(AA53&lt;0,AA53+360,AA53)</f>
        <v>294.2481655737061</v>
      </c>
      <c r="AC53" s="126">
        <f>DEGREES(ASIN((SIN(RADIANS('Data Entry-V'!$F$8))*SIN(RADIANS(C53)))+(COS(RADIANS('Data Entry-V'!$F$8))*COS(RADIANS(C53))*COS(RADIANS((U53-B53)*15)))))</f>
        <v>35.099655758263935</v>
      </c>
      <c r="AD53" s="188">
        <f>1/(COS((4*ATAN(1))/2-(AC53*(4*ATAN(1))/180)))</f>
        <v>1.7391294171188694</v>
      </c>
      <c r="AE53" s="188">
        <f>IF(AC53&gt;10,AD53-((AD53-1)*(0.0018161+(AD53-1)*(0.002875+(AD53-1)*0.0008083))),"")</f>
        <v>1.7358900484423587</v>
      </c>
      <c r="AF53" s="87"/>
      <c r="AG53" s="87"/>
      <c r="AH53" s="87"/>
      <c r="AI53" s="87"/>
    </row>
    <row r="54" spans="1:35">
      <c r="A54" s="42" t="s">
        <v>121</v>
      </c>
      <c r="B54" s="187">
        <v>4.4249000000000001</v>
      </c>
      <c r="C54" s="187">
        <v>17.927700000000002</v>
      </c>
      <c r="D54" s="172">
        <v>4.29</v>
      </c>
      <c r="E54" s="172">
        <v>0.04</v>
      </c>
      <c r="F54" s="172">
        <v>0.08</v>
      </c>
      <c r="G54" s="188">
        <f>IF($AH$3&gt;0.5,($AH$2+2415019)+((((HOUR($AH$3)*60)+MINUTE($AH$3))/1440+DAY($AH$2))-0.5)-DAY($AH$2),($AH$2+2415019)+((((HOUR($AH$3)*60)+MINUTE($AH$3))/1440+DAY($AH$2))-1.5)-DAY($AH$2)+1)</f>
        <v>2461051.9375</v>
      </c>
      <c r="H54" s="188">
        <f>IF((G54-ROUNDDOWN(G54,0))&lt;0.5,ROUNDDOWN(G54,0)-0.5,ROUNDDOWN(G54,0)+0.5)</f>
        <v>2461051.5</v>
      </c>
      <c r="I54" s="188">
        <f>$AH$3*24</f>
        <v>10.5</v>
      </c>
      <c r="J54" s="188">
        <f>G54-2451545</f>
        <v>9506.9375</v>
      </c>
      <c r="K54" s="188">
        <f>G54-2451545</f>
        <v>9506.9375</v>
      </c>
      <c r="L54" s="188">
        <f>AVERAGE(H54-2451545)/36525</f>
        <v>0.26027378507871324</v>
      </c>
      <c r="M54" s="188">
        <f>6.697374558+(0.065707485828*K54)+(1.0027379093*I54)+(0.0854103*L54)+(0.000025862*L54*L54)</f>
        <v>641.92531546860243</v>
      </c>
      <c r="N54" s="188">
        <f>M54-24*(ROUNDDOWN(M54/24,0))</f>
        <v>17.925315468602435</v>
      </c>
      <c r="O54" s="188">
        <f>125.04-0.052954*J54</f>
        <v>-378.39036837499998</v>
      </c>
      <c r="P54" s="188">
        <f>280.47+0.98565*J54</f>
        <v>9650.9829468749995</v>
      </c>
      <c r="Q54" s="188">
        <f>23.4393-0.0000004*J54</f>
        <v>23.435497224999999</v>
      </c>
      <c r="R54" s="188">
        <f>-0.000319*SIN(RADIANS(O54))-0.000024*SIN((RADIANS(2*P54)))</f>
        <v>1.1668967270040724E-4</v>
      </c>
      <c r="S54" s="188">
        <f>N54+R54*COS(RADIANS(Q54))</f>
        <v>17.925422532357235</v>
      </c>
      <c r="T54" s="188">
        <f>S54-'Data Entry-V'!$F$9/15</f>
        <v>29.556533643468349</v>
      </c>
      <c r="U54" s="188">
        <f>IF(T54&lt;0,T54+24,IF(T54&gt;24,T54-24,T54))</f>
        <v>5.5565336434683488</v>
      </c>
      <c r="V54" s="188">
        <f>U54-B54</f>
        <v>1.1316336434683487</v>
      </c>
      <c r="W54" s="188">
        <f>V54*15</f>
        <v>16.974504652025232</v>
      </c>
      <c r="X54" s="188">
        <f>IF(W54&lt;0,W54+360,W54)</f>
        <v>16.974504652025232</v>
      </c>
      <c r="Y54" s="188">
        <f>-SIN(RADIANS(X54))</f>
        <v>-0.29194614143719888</v>
      </c>
      <c r="Z54" s="188">
        <f>TAN(RADIANS(C54))*COS(RADIANS('Data Entry-V'!$F$8))-SIN(RADIANS('Data Entry-V'!$F$8))*COS(RADIANS(X54))</f>
        <v>0.83231641176726123</v>
      </c>
      <c r="AA54" s="188">
        <f>DEGREES(ATAN2(Z54,Y54))</f>
        <v>-19.3290036018204</v>
      </c>
      <c r="AB54" s="126">
        <f>IF(AA54&lt;0,AA54+360,AA54)</f>
        <v>340.67099639817962</v>
      </c>
      <c r="AC54" s="126">
        <f>DEGREES(ASIN((SIN(RADIANS('Data Entry-V'!$F$8))*SIN(RADIANS(C54)))+(COS(RADIANS('Data Entry-V'!$F$8))*COS(RADIANS(C54))*COS(RADIANS((U54-B54)*15)))))</f>
        <v>32.943523196843465</v>
      </c>
      <c r="AD54" s="188">
        <f>1/(COS((4*ATAN(1))/2-(AC54*(4*ATAN(1))/180)))</f>
        <v>1.8388704893076002</v>
      </c>
      <c r="AE54" s="188">
        <f>IF(AC54&gt;10,AD54-((AD54-1)*(0.0018161+(AD54-1)*(0.002875+(AD54-1)*0.0008083))),"")</f>
        <v>1.8348467158434401</v>
      </c>
      <c r="AF54" s="87"/>
      <c r="AG54" s="87"/>
      <c r="AH54" s="87"/>
      <c r="AI54" s="87"/>
    </row>
    <row r="55" spans="1:35">
      <c r="A55" s="42" t="s">
        <v>122</v>
      </c>
      <c r="B55" s="187">
        <v>8.6278000000000006</v>
      </c>
      <c r="C55" s="187">
        <v>5.7038000000000002</v>
      </c>
      <c r="D55" s="172">
        <v>4.17</v>
      </c>
      <c r="E55" s="172">
        <v>0</v>
      </c>
      <c r="F55" s="172">
        <v>0.02</v>
      </c>
      <c r="G55" s="188">
        <f>IF($AH$3&gt;0.5,($AH$2+2415019)+((((HOUR($AH$3)*60)+MINUTE($AH$3))/1440+DAY($AH$2))-0.5)-DAY($AH$2),($AH$2+2415019)+((((HOUR($AH$3)*60)+MINUTE($AH$3))/1440+DAY($AH$2))-1.5)-DAY($AH$2)+1)</f>
        <v>2461051.9375</v>
      </c>
      <c r="H55" s="188">
        <f>IF((G55-ROUNDDOWN(G55,0))&lt;0.5,ROUNDDOWN(G55,0)-0.5,ROUNDDOWN(G55,0)+0.5)</f>
        <v>2461051.5</v>
      </c>
      <c r="I55" s="188">
        <f>$AH$3*24</f>
        <v>10.5</v>
      </c>
      <c r="J55" s="188">
        <f>G55-2451545</f>
        <v>9506.9375</v>
      </c>
      <c r="K55" s="188">
        <f>G55-2451545</f>
        <v>9506.9375</v>
      </c>
      <c r="L55" s="188">
        <f>AVERAGE(H55-2451545)/36525</f>
        <v>0.26027378507871324</v>
      </c>
      <c r="M55" s="188">
        <f>6.697374558+(0.065707485828*K55)+(1.0027379093*I55)+(0.0854103*L55)+(0.000025862*L55*L55)</f>
        <v>641.92531546860243</v>
      </c>
      <c r="N55" s="188">
        <f>M55-24*(ROUNDDOWN(M55/24,0))</f>
        <v>17.925315468602435</v>
      </c>
      <c r="O55" s="188">
        <f>125.04-0.052954*J55</f>
        <v>-378.39036837499998</v>
      </c>
      <c r="P55" s="188">
        <f>280.47+0.98565*J55</f>
        <v>9650.9829468749995</v>
      </c>
      <c r="Q55" s="188">
        <f>23.4393-0.0000004*J55</f>
        <v>23.435497224999999</v>
      </c>
      <c r="R55" s="188">
        <f>-0.000319*SIN(RADIANS(O55))-0.000024*SIN((RADIANS(2*P55)))</f>
        <v>1.1668967270040724E-4</v>
      </c>
      <c r="S55" s="188">
        <f>N55+R55*COS(RADIANS(Q55))</f>
        <v>17.925422532357235</v>
      </c>
      <c r="T55" s="188">
        <f>S55-'Data Entry-V'!$F$9/15</f>
        <v>29.556533643468349</v>
      </c>
      <c r="U55" s="188">
        <f>IF(T55&lt;0,T55+24,IF(T55&gt;24,T55-24,T55))</f>
        <v>5.5565336434683488</v>
      </c>
      <c r="V55" s="188">
        <f>U55-B55</f>
        <v>-3.0712663565316518</v>
      </c>
      <c r="W55" s="188">
        <f>V55*15</f>
        <v>-46.068995347974777</v>
      </c>
      <c r="X55" s="188">
        <f>IF(W55&lt;0,W55+360,W55)</f>
        <v>313.93100465202519</v>
      </c>
      <c r="Y55" s="188">
        <f>-SIN(RADIANS(X55))</f>
        <v>0.72017578340817234</v>
      </c>
      <c r="Z55" s="188">
        <f>TAN(RADIANS(C55))*COS(RADIANS('Data Entry-V'!$F$8))-SIN(RADIANS('Data Entry-V'!$F$8))*COS(RADIANS(X55))</f>
        <v>0.49586312597784621</v>
      </c>
      <c r="AA55" s="188">
        <f>DEGREES(ATAN2(Z55,Y55))</f>
        <v>55.451396015838363</v>
      </c>
      <c r="AB55" s="126">
        <f>IF(AA55&lt;0,AA55+360,AA55)</f>
        <v>55.451396015838363</v>
      </c>
      <c r="AC55" s="126">
        <f>DEGREES(ASIN((SIN(RADIANS('Data Entry-V'!$F$8))*SIN(RADIANS(C55)))+(COS(RADIANS('Data Entry-V'!$F$8))*COS(RADIANS(C55))*COS(RADIANS((U55-B55)*15)))))</f>
        <v>29.535903823737247</v>
      </c>
      <c r="AD55" s="188">
        <f>1/(COS((4*ATAN(1))/2-(AC55*(4*ATAN(1))/180)))</f>
        <v>2.0285256838792955</v>
      </c>
      <c r="AE55" s="188">
        <f>IF(AC55&gt;10,AD55-((AD55-1)*(0.0018161+(AD55-1)*(0.002875+(AD55-1)*0.0008083))),"")</f>
        <v>2.022736952403362</v>
      </c>
      <c r="AF55" s="87"/>
      <c r="AG55" s="87"/>
      <c r="AH55" s="87"/>
      <c r="AI55" s="87"/>
    </row>
    <row r="56" spans="1:35">
      <c r="A56" s="42" t="s">
        <v>123</v>
      </c>
      <c r="B56" s="187">
        <v>11.002599999999999</v>
      </c>
      <c r="C56" s="187">
        <v>-42.225900000000003</v>
      </c>
      <c r="D56" s="172" t="s">
        <v>124</v>
      </c>
      <c r="E56" s="172">
        <v>0.11</v>
      </c>
      <c r="F56" s="172">
        <v>0.13</v>
      </c>
      <c r="G56" s="188">
        <f>IF($AH$3&gt;0.5,($AH$2+2415019)+((((HOUR($AH$3)*60)+MINUTE($AH$3))/1440+DAY($AH$2))-0.5)-DAY($AH$2),($AH$2+2415019)+((((HOUR($AH$3)*60)+MINUTE($AH$3))/1440+DAY($AH$2))-1.5)-DAY($AH$2)+1)</f>
        <v>2461051.9375</v>
      </c>
      <c r="H56" s="188">
        <f>IF((G56-ROUNDDOWN(G56,0))&lt;0.5,ROUNDDOWN(G56,0)-0.5,ROUNDDOWN(G56,0)+0.5)</f>
        <v>2461051.5</v>
      </c>
      <c r="I56" s="188">
        <f>$AH$3*24</f>
        <v>10.5</v>
      </c>
      <c r="J56" s="188">
        <f>G56-2451545</f>
        <v>9506.9375</v>
      </c>
      <c r="K56" s="188">
        <f>G56-2451545</f>
        <v>9506.9375</v>
      </c>
      <c r="L56" s="188">
        <f>AVERAGE(H56-2451545)/36525</f>
        <v>0.26027378507871324</v>
      </c>
      <c r="M56" s="188">
        <f>6.697374558+(0.065707485828*K56)+(1.0027379093*I56)+(0.0854103*L56)+(0.000025862*L56*L56)</f>
        <v>641.92531546860243</v>
      </c>
      <c r="N56" s="188">
        <f>M56-24*(ROUNDDOWN(M56/24,0))</f>
        <v>17.925315468602435</v>
      </c>
      <c r="O56" s="188">
        <f>125.04-0.052954*J56</f>
        <v>-378.39036837499998</v>
      </c>
      <c r="P56" s="188">
        <f>280.47+0.98565*J56</f>
        <v>9650.9829468749995</v>
      </c>
      <c r="Q56" s="188">
        <f>23.4393-0.0000004*J56</f>
        <v>23.435497224999999</v>
      </c>
      <c r="R56" s="188">
        <f>-0.000319*SIN(RADIANS(O56))-0.000024*SIN((RADIANS(2*P56)))</f>
        <v>1.1668967270040724E-4</v>
      </c>
      <c r="S56" s="188">
        <f>N56+R56*COS(RADIANS(Q56))</f>
        <v>17.925422532357235</v>
      </c>
      <c r="T56" s="188">
        <f>S56-'Data Entry-V'!$F$9/15</f>
        <v>29.556533643468349</v>
      </c>
      <c r="U56" s="188">
        <f>IF(T56&lt;0,T56+24,IF(T56&gt;24,T56-24,T56))</f>
        <v>5.5565336434683488</v>
      </c>
      <c r="V56" s="188">
        <f>U56-B56</f>
        <v>-5.4460663565316505</v>
      </c>
      <c r="W56" s="188">
        <f>V56*15</f>
        <v>-81.690995347974763</v>
      </c>
      <c r="X56" s="188">
        <f>IF(W56&lt;0,W56+360,W56)</f>
        <v>278.30900465202524</v>
      </c>
      <c r="Y56" s="188">
        <f>-SIN(RADIANS(X56))</f>
        <v>0.98950308970889034</v>
      </c>
      <c r="Z56" s="188">
        <f>TAN(RADIANS(C56))*COS(RADIANS('Data Entry-V'!$F$8))-SIN(RADIANS('Data Entry-V'!$F$8))*COS(RADIANS(X56))</f>
        <v>-0.63976906327318694</v>
      </c>
      <c r="AA56" s="188">
        <f>DEGREES(ATAN2(Z56,Y56))</f>
        <v>122.88492702812383</v>
      </c>
      <c r="AB56" s="126">
        <f>IF(AA56&lt;0,AA56+360,AA56)</f>
        <v>122.88492702812383</v>
      </c>
      <c r="AC56" s="126">
        <f>DEGREES(ASIN((SIN(RADIANS('Data Entry-V'!$F$8))*SIN(RADIANS(C56)))+(COS(RADIANS('Data Entry-V'!$F$8))*COS(RADIANS(C56))*COS(RADIANS((U56-B56)*15)))))</f>
        <v>29.244654925427785</v>
      </c>
      <c r="AD56" s="188">
        <f>1/(COS((4*ATAN(1))/2-(AC56*(4*ATAN(1))/180)))</f>
        <v>2.0469159482416042</v>
      </c>
      <c r="AE56" s="188">
        <f>IF(AC56&gt;10,AD56-((AD56-1)*(0.0018161+(AD56-1)*(0.002875+(AD56-1)*0.0008083))),"")</f>
        <v>2.0409360618892727</v>
      </c>
      <c r="AF56" s="87"/>
      <c r="AG56" s="87"/>
      <c r="AH56" s="87"/>
      <c r="AI56" s="87"/>
    </row>
    <row r="57" spans="1:35">
      <c r="A57" s="42" t="s">
        <v>125</v>
      </c>
      <c r="B57" s="187">
        <v>1.5509999999999999</v>
      </c>
      <c r="C57" s="187">
        <v>-9.0146999999999995</v>
      </c>
      <c r="D57" s="172">
        <v>5.59</v>
      </c>
      <c r="E57" s="172">
        <v>-0.04</v>
      </c>
      <c r="F57" s="172">
        <v>-0.04</v>
      </c>
      <c r="G57" s="188">
        <f>IF($AH$3&gt;0.5,($AH$2+2415019)+((((HOUR($AH$3)*60)+MINUTE($AH$3))/1440+DAY($AH$2))-0.5)-DAY($AH$2),($AH$2+2415019)+((((HOUR($AH$3)*60)+MINUTE($AH$3))/1440+DAY($AH$2))-1.5)-DAY($AH$2)+1)</f>
        <v>2461051.9375</v>
      </c>
      <c r="H57" s="188">
        <f>IF((G57-ROUNDDOWN(G57,0))&lt;0.5,ROUNDDOWN(G57,0)-0.5,ROUNDDOWN(G57,0)+0.5)</f>
        <v>2461051.5</v>
      </c>
      <c r="I57" s="188">
        <f>$AH$3*24</f>
        <v>10.5</v>
      </c>
      <c r="J57" s="188">
        <f>G57-2451545</f>
        <v>9506.9375</v>
      </c>
      <c r="K57" s="188">
        <f>G57-2451545</f>
        <v>9506.9375</v>
      </c>
      <c r="L57" s="188">
        <f>AVERAGE(H57-2451545)/36525</f>
        <v>0.26027378507871324</v>
      </c>
      <c r="M57" s="188">
        <f>6.697374558+(0.065707485828*K57)+(1.0027379093*I57)+(0.0854103*L57)+(0.000025862*L57*L57)</f>
        <v>641.92531546860243</v>
      </c>
      <c r="N57" s="188">
        <f>M57-24*(ROUNDDOWN(M57/24,0))</f>
        <v>17.925315468602435</v>
      </c>
      <c r="O57" s="188">
        <f>125.04-0.052954*J57</f>
        <v>-378.39036837499998</v>
      </c>
      <c r="P57" s="188">
        <f>280.47+0.98565*J57</f>
        <v>9650.9829468749995</v>
      </c>
      <c r="Q57" s="188">
        <f>23.4393-0.0000004*J57</f>
        <v>23.435497224999999</v>
      </c>
      <c r="R57" s="188">
        <f>-0.000319*SIN(RADIANS(O57))-0.000024*SIN((RADIANS(2*P57)))</f>
        <v>1.1668967270040724E-4</v>
      </c>
      <c r="S57" s="188">
        <f>N57+R57*COS(RADIANS(Q57))</f>
        <v>17.925422532357235</v>
      </c>
      <c r="T57" s="188">
        <f>S57-'Data Entry-V'!$F$9/15</f>
        <v>29.556533643468349</v>
      </c>
      <c r="U57" s="188">
        <f>IF(T57&lt;0,T57+24,IF(T57&gt;24,T57-24,T57))</f>
        <v>5.5565336434683488</v>
      </c>
      <c r="V57" s="188">
        <f>U57-B57</f>
        <v>4.0055336434683486</v>
      </c>
      <c r="W57" s="188">
        <f>V57*15</f>
        <v>60.083004652025231</v>
      </c>
      <c r="X57" s="188">
        <f>IF(W57&lt;0,W57+360,W57)</f>
        <v>60.083004652025231</v>
      </c>
      <c r="Y57" s="188">
        <f>-SIN(RADIANS(X57))</f>
        <v>-0.86674884698429144</v>
      </c>
      <c r="Z57" s="188">
        <f>TAN(RADIANS(C57))*COS(RADIANS('Data Entry-V'!$F$8))-SIN(RADIANS('Data Entry-V'!$F$8))*COS(RADIANS(X57))</f>
        <v>0.17201354861128004</v>
      </c>
      <c r="AA57" s="188">
        <f>DEGREES(ATAN2(Z57,Y57))</f>
        <v>-78.775025216871597</v>
      </c>
      <c r="AB57" s="126">
        <v>-0.1</v>
      </c>
      <c r="AC57" s="126">
        <f>DEGREES(ASIN((SIN(RADIANS('Data Entry-V'!$F$8))*SIN(RADIANS(C57)))+(COS(RADIANS('Data Entry-V'!$F$8))*COS(RADIANS(C57))*COS(RADIANS((U57-B57)*15)))))</f>
        <v>29.221605763473335</v>
      </c>
      <c r="AD57" s="188">
        <f>1/(COS((4*ATAN(1))/2-(AC57*(4*ATAN(1))/180)))</f>
        <v>2.0483878531027417</v>
      </c>
      <c r="AE57" s="188">
        <f>IF(AC57&gt;10,AD57-((AD57-1)*(0.0018161+(AD57-1)*(0.002875+(AD57-1)*0.0008083))),"")</f>
        <v>2.0423925093835993</v>
      </c>
      <c r="AF57" s="87"/>
      <c r="AG57" s="87"/>
      <c r="AH57" s="87"/>
      <c r="AI57" s="87"/>
    </row>
    <row r="58" spans="1:35">
      <c r="A58" s="42" t="s">
        <v>34</v>
      </c>
      <c r="B58" s="187">
        <v>8.9688999999999997</v>
      </c>
      <c r="C58" s="187">
        <v>1.5416000000000001</v>
      </c>
      <c r="D58" s="172">
        <v>6.59</v>
      </c>
      <c r="E58" s="172">
        <v>0.05</v>
      </c>
      <c r="F58" s="172">
        <v>0.08</v>
      </c>
      <c r="G58" s="188">
        <f>IF($AH$3&gt;0.5,($AH$2+2415019)+((((HOUR($AH$3)*60)+MINUTE($AH$3))/1440+DAY($AH$2))-0.5)-DAY($AH$2),($AH$2+2415019)+((((HOUR($AH$3)*60)+MINUTE($AH$3))/1440+DAY($AH$2))-1.5)-DAY($AH$2)+1)</f>
        <v>2461051.9375</v>
      </c>
      <c r="H58" s="188">
        <f>IF((G58-ROUNDDOWN(G58,0))&lt;0.5,ROUNDDOWN(G58,0)-0.5,ROUNDDOWN(G58,0)+0.5)</f>
        <v>2461051.5</v>
      </c>
      <c r="I58" s="188">
        <f>$AH$3*24</f>
        <v>10.5</v>
      </c>
      <c r="J58" s="188">
        <f>G58-2451545</f>
        <v>9506.9375</v>
      </c>
      <c r="K58" s="188">
        <f>G58-2451545</f>
        <v>9506.9375</v>
      </c>
      <c r="L58" s="188">
        <f>AVERAGE(H58-2451545)/36525</f>
        <v>0.26027378507871324</v>
      </c>
      <c r="M58" s="188">
        <f>6.697374558+(0.065707485828*K58)+(1.0027379093*I58)+(0.0854103*L58)+(0.000025862*L58*L58)</f>
        <v>641.92531546860243</v>
      </c>
      <c r="N58" s="188">
        <f>M58-24*(ROUNDDOWN(M58/24,0))</f>
        <v>17.925315468602435</v>
      </c>
      <c r="O58" s="188">
        <f>125.04-0.052954*J58</f>
        <v>-378.39036837499998</v>
      </c>
      <c r="P58" s="188">
        <f>280.47+0.98565*J58</f>
        <v>9650.9829468749995</v>
      </c>
      <c r="Q58" s="188">
        <f>23.4393-0.0000004*J58</f>
        <v>23.435497224999999</v>
      </c>
      <c r="R58" s="188">
        <f>-0.000319*SIN(RADIANS(O58))-0.000024*SIN((RADIANS(2*P58)))</f>
        <v>1.1668967270040724E-4</v>
      </c>
      <c r="S58" s="188">
        <f>N58+R58*COS(RADIANS(Q58))</f>
        <v>17.925422532357235</v>
      </c>
      <c r="T58" s="188">
        <f>S58-'Data Entry-V'!$F$9/15</f>
        <v>29.556533643468349</v>
      </c>
      <c r="U58" s="188">
        <f>IF(T58&lt;0,T58+24,IF(T58&gt;24,T58-24,T58))</f>
        <v>5.5565336434683488</v>
      </c>
      <c r="V58" s="188">
        <f>U58-B58</f>
        <v>-3.4123663565316509</v>
      </c>
      <c r="W58" s="188">
        <f>V58*15</f>
        <v>-51.185495347974765</v>
      </c>
      <c r="X58" s="188">
        <f>IF(W58&lt;0,W58+360,W58)</f>
        <v>308.81450465202522</v>
      </c>
      <c r="Y58" s="188">
        <f>-SIN(RADIANS(X58))</f>
        <v>0.77917931274014318</v>
      </c>
      <c r="Z58" s="188">
        <f>TAN(RADIANS(C58))*COS(RADIANS('Data Entry-V'!$F$8))-SIN(RADIANS('Data Entry-V'!$F$8))*COS(RADIANS(X58))</f>
        <v>0.39730086305311035</v>
      </c>
      <c r="AA58" s="188">
        <f>DEGREES(ATAN2(Z58,Y58))</f>
        <v>62.983121250736929</v>
      </c>
      <c r="AB58" s="126">
        <f>IF(AA58&lt;0,AA58+360,AA58)</f>
        <v>62.983121250736929</v>
      </c>
      <c r="AC58" s="126">
        <f>DEGREES(ASIN((SIN(RADIANS('Data Entry-V'!$F$8))*SIN(RADIANS(C58)))+(COS(RADIANS('Data Entry-V'!$F$8))*COS(RADIANS(C58))*COS(RADIANS((U58-B58)*15)))))</f>
        <v>29.036800208444443</v>
      </c>
      <c r="AD58" s="188">
        <f>1/(COS((4*ATAN(1))/2-(AC58*(4*ATAN(1))/180)))</f>
        <v>2.0602784943988253</v>
      </c>
      <c r="AE58" s="188">
        <f>IF(AC58&gt;10,AD58-((AD58-1)*(0.0018161+(AD58-1)*(0.002875+(AD58-1)*0.0008083))),"")</f>
        <v>2.0541574177558775</v>
      </c>
      <c r="AF58" s="87"/>
      <c r="AG58" s="87"/>
      <c r="AH58" s="87"/>
      <c r="AI58" s="87"/>
    </row>
    <row r="59" spans="1:35">
      <c r="A59" s="42" t="s">
        <v>126</v>
      </c>
      <c r="B59" s="187">
        <v>2.0531999999999999</v>
      </c>
      <c r="C59" s="187">
        <v>0.1285</v>
      </c>
      <c r="D59" s="172">
        <v>5.42</v>
      </c>
      <c r="E59" s="172">
        <v>0.14000000000000001</v>
      </c>
      <c r="F59" s="172">
        <v>0.13</v>
      </c>
      <c r="G59" s="188">
        <f>IF($AH$3&gt;0.5,($AH$2+2415019)+((((HOUR($AH$3)*60)+MINUTE($AH$3))/1440+DAY($AH$2))-0.5)-DAY($AH$2),($AH$2+2415019)+((((HOUR($AH$3)*60)+MINUTE($AH$3))/1440+DAY($AH$2))-1.5)-DAY($AH$2)+1)</f>
        <v>2461051.9375</v>
      </c>
      <c r="H59" s="188">
        <f>IF((G59-ROUNDDOWN(G59,0))&lt;0.5,ROUNDDOWN(G59,0)-0.5,ROUNDDOWN(G59,0)+0.5)</f>
        <v>2461051.5</v>
      </c>
      <c r="I59" s="188">
        <f>$AH$3*24</f>
        <v>10.5</v>
      </c>
      <c r="J59" s="188">
        <f>G59-2451545</f>
        <v>9506.9375</v>
      </c>
      <c r="K59" s="188">
        <f>G59-2451545</f>
        <v>9506.9375</v>
      </c>
      <c r="L59" s="188">
        <f>AVERAGE(H59-2451545)/36525</f>
        <v>0.26027378507871324</v>
      </c>
      <c r="M59" s="188">
        <f>6.697374558+(0.065707485828*K59)+(1.0027379093*I59)+(0.0854103*L59)+(0.000025862*L59*L59)</f>
        <v>641.92531546860243</v>
      </c>
      <c r="N59" s="188">
        <f>M59-24*(ROUNDDOWN(M59/24,0))</f>
        <v>17.925315468602435</v>
      </c>
      <c r="O59" s="188">
        <f>125.04-0.052954*J59</f>
        <v>-378.39036837499998</v>
      </c>
      <c r="P59" s="188">
        <f>280.47+0.98565*J59</f>
        <v>9650.9829468749995</v>
      </c>
      <c r="Q59" s="188">
        <f>23.4393-0.0000004*J59</f>
        <v>23.435497224999999</v>
      </c>
      <c r="R59" s="188">
        <f>-0.000319*SIN(RADIANS(O59))-0.000024*SIN((RADIANS(2*P59)))</f>
        <v>1.1668967270040724E-4</v>
      </c>
      <c r="S59" s="188">
        <f>N59+R59*COS(RADIANS(Q59))</f>
        <v>17.925422532357235</v>
      </c>
      <c r="T59" s="188">
        <f>S59-'Data Entry-V'!$F$9/15</f>
        <v>29.556533643468349</v>
      </c>
      <c r="U59" s="188">
        <f>IF(T59&lt;0,T59+24,IF(T59&gt;24,T59-24,T59))</f>
        <v>5.5565336434683488</v>
      </c>
      <c r="V59" s="188">
        <f>U59-B59</f>
        <v>3.5033336434683489</v>
      </c>
      <c r="W59" s="188">
        <f>V59*15</f>
        <v>52.55000465202523</v>
      </c>
      <c r="X59" s="188">
        <f>IF(W59&lt;0,W59+360,W59)</f>
        <v>52.55000465202523</v>
      </c>
      <c r="Y59" s="188">
        <f>-SIN(RADIANS(X59))</f>
        <v>-0.79388433207306308</v>
      </c>
      <c r="Z59" s="188">
        <f>TAN(RADIANS(C59))*COS(RADIANS('Data Entry-V'!$F$8))-SIN(RADIANS('Data Entry-V'!$F$8))*COS(RADIANS(X59))</f>
        <v>0.3663258265932004</v>
      </c>
      <c r="AA59" s="188">
        <f>DEGREES(ATAN2(Z59,Y59))</f>
        <v>-65.229757850227912</v>
      </c>
      <c r="AB59" s="126">
        <f>IF(AA59&lt;0,AA59+360,AA59)</f>
        <v>294.77024214977212</v>
      </c>
      <c r="AC59" s="126">
        <f>DEGREES(ASIN((SIN(RADIANS('Data Entry-V'!$F$8))*SIN(RADIANS(C59)))+(COS(RADIANS('Data Entry-V'!$F$8))*COS(RADIANS(C59))*COS(RADIANS((U59-B59)*15)))))</f>
        <v>29.034884729798659</v>
      </c>
      <c r="AD59" s="188">
        <f>1/(COS((4*ATAN(1))/2-(AC59*(4*ATAN(1))/180)))</f>
        <v>2.0604025742453702</v>
      </c>
      <c r="AE59" s="188">
        <f>IF(AC59&gt;10,AD59-((AD59-1)*(0.0018161+(AD59-1)*(0.002875+(AD59-1)*0.0008083))),"")</f>
        <v>2.0542801774640012</v>
      </c>
      <c r="AF59" s="87"/>
      <c r="AG59" s="87"/>
      <c r="AH59" s="87"/>
      <c r="AI59" s="87"/>
    </row>
    <row r="60" spans="1:35">
      <c r="A60" s="42" t="s">
        <v>127</v>
      </c>
      <c r="B60" s="187">
        <v>4.4229000000000003</v>
      </c>
      <c r="C60" s="187">
        <v>22.293600000000001</v>
      </c>
      <c r="D60" s="172">
        <v>4.2300000000000004</v>
      </c>
      <c r="E60" s="172">
        <v>0.12</v>
      </c>
      <c r="F60" s="172">
        <v>0.15</v>
      </c>
      <c r="G60" s="188">
        <f>IF($AH$3&gt;0.5,($AH$2+2415019)+((((HOUR($AH$3)*60)+MINUTE($AH$3))/1440+DAY($AH$2))-0.5)-DAY($AH$2),($AH$2+2415019)+((((HOUR($AH$3)*60)+MINUTE($AH$3))/1440+DAY($AH$2))-1.5)-DAY($AH$2)+1)</f>
        <v>2461051.9375</v>
      </c>
      <c r="H60" s="188">
        <f>IF((G60-ROUNDDOWN(G60,0))&lt;0.5,ROUNDDOWN(G60,0)-0.5,ROUNDDOWN(G60,0)+0.5)</f>
        <v>2461051.5</v>
      </c>
      <c r="I60" s="188">
        <f>$AH$3*24</f>
        <v>10.5</v>
      </c>
      <c r="J60" s="188">
        <f>G60-2451545</f>
        <v>9506.9375</v>
      </c>
      <c r="K60" s="188">
        <f>G60-2451545</f>
        <v>9506.9375</v>
      </c>
      <c r="L60" s="188">
        <f>AVERAGE(H60-2451545)/36525</f>
        <v>0.26027378507871324</v>
      </c>
      <c r="M60" s="188">
        <f>6.697374558+(0.065707485828*K60)+(1.0027379093*I60)+(0.0854103*L60)+(0.000025862*L60*L60)</f>
        <v>641.92531546860243</v>
      </c>
      <c r="N60" s="188">
        <f>M60-24*(ROUNDDOWN(M60/24,0))</f>
        <v>17.925315468602435</v>
      </c>
      <c r="O60" s="188">
        <f>125.04-0.052954*J60</f>
        <v>-378.39036837499998</v>
      </c>
      <c r="P60" s="188">
        <f>280.47+0.98565*J60</f>
        <v>9650.9829468749995</v>
      </c>
      <c r="Q60" s="188">
        <f>23.4393-0.0000004*J60</f>
        <v>23.435497224999999</v>
      </c>
      <c r="R60" s="188">
        <f>-0.000319*SIN(RADIANS(O60))-0.000024*SIN((RADIANS(2*P60)))</f>
        <v>1.1668967270040724E-4</v>
      </c>
      <c r="S60" s="188">
        <f>N60+R60*COS(RADIANS(Q60))</f>
        <v>17.925422532357235</v>
      </c>
      <c r="T60" s="188">
        <f>S60-'Data Entry-V'!$F$9/15</f>
        <v>29.556533643468349</v>
      </c>
      <c r="U60" s="188">
        <f>IF(T60&lt;0,T60+24,IF(T60&gt;24,T60-24,T60))</f>
        <v>5.5565336434683488</v>
      </c>
      <c r="V60" s="188">
        <f>U60-B60</f>
        <v>1.1336336434683485</v>
      </c>
      <c r="W60" s="188">
        <f>V60*15</f>
        <v>17.004504652025226</v>
      </c>
      <c r="X60" s="188">
        <f>IF(W60&lt;0,W60+360,W60)</f>
        <v>17.004504652025226</v>
      </c>
      <c r="Y60" s="188">
        <f>-SIN(RADIANS(X60))</f>
        <v>-0.29244688946434649</v>
      </c>
      <c r="Z60" s="188">
        <f>TAN(RADIANS(C60))*COS(RADIANS('Data Entry-V'!$F$8))-SIN(RADIANS('Data Entry-V'!$F$8))*COS(RADIANS(X60))</f>
        <v>0.90143717522661548</v>
      </c>
      <c r="AA60" s="188">
        <f>DEGREES(ATAN2(Z60,Y60))</f>
        <v>-17.97425156359872</v>
      </c>
      <c r="AB60" s="126">
        <f>IF(AA60&lt;0,AA60+360,AA60)</f>
        <v>342.02574843640127</v>
      </c>
      <c r="AC60" s="126">
        <f>DEGREES(ASIN((SIN(RADIANS('Data Entry-V'!$F$8))*SIN(RADIANS(C60)))+(COS(RADIANS('Data Entry-V'!$F$8))*COS(RADIANS(C60))*COS(RADIANS((U60-B60)*15)))))</f>
        <v>28.73518443074795</v>
      </c>
      <c r="AD60" s="188">
        <f>1/(COS((4*ATAN(1))/2-(AC60*(4*ATAN(1))/180)))</f>
        <v>2.0800310741356549</v>
      </c>
      <c r="AE60" s="188">
        <f>IF(AC60&gt;10,AD60-((AD60-1)*(0.0018161+(AD60-1)*(0.002875+(AD60-1)*0.0008083))),"")</f>
        <v>2.0736977236264402</v>
      </c>
      <c r="AF60" s="87"/>
      <c r="AG60" s="87"/>
      <c r="AH60" s="87"/>
      <c r="AI60" s="87"/>
    </row>
    <row r="61" spans="1:35">
      <c r="A61" s="42" t="s">
        <v>128</v>
      </c>
      <c r="B61" s="187">
        <v>9.6310000000000002</v>
      </c>
      <c r="C61" s="187">
        <v>-9.4244000000000003</v>
      </c>
      <c r="D61" s="172">
        <v>6.4</v>
      </c>
      <c r="E61" s="172">
        <v>-0.04</v>
      </c>
      <c r="F61" s="172">
        <v>-0.09</v>
      </c>
      <c r="G61" s="188">
        <f>IF($AH$3&gt;0.5,($AH$2+2415019)+((((HOUR($AH$3)*60)+MINUTE($AH$3))/1440+DAY($AH$2))-0.5)-DAY($AH$2),($AH$2+2415019)+((((HOUR($AH$3)*60)+MINUTE($AH$3))/1440+DAY($AH$2))-1.5)-DAY($AH$2)+1)</f>
        <v>2461051.9375</v>
      </c>
      <c r="H61" s="188">
        <f>IF((G61-ROUNDDOWN(G61,0))&lt;0.5,ROUNDDOWN(G61,0)-0.5,ROUNDDOWN(G61,0)+0.5)</f>
        <v>2461051.5</v>
      </c>
      <c r="I61" s="188">
        <f>$AH$3*24</f>
        <v>10.5</v>
      </c>
      <c r="J61" s="188">
        <f>G61-2451545</f>
        <v>9506.9375</v>
      </c>
      <c r="K61" s="188">
        <f>G61-2451545</f>
        <v>9506.9375</v>
      </c>
      <c r="L61" s="188">
        <f>AVERAGE(H61-2451545)/36525</f>
        <v>0.26027378507871324</v>
      </c>
      <c r="M61" s="188">
        <f>6.697374558+(0.065707485828*K61)+(1.0027379093*I61)+(0.0854103*L61)+(0.000025862*L61*L61)</f>
        <v>641.92531546860243</v>
      </c>
      <c r="N61" s="188">
        <f>M61-24*(ROUNDDOWN(M61/24,0))</f>
        <v>17.925315468602435</v>
      </c>
      <c r="O61" s="188">
        <f>125.04-0.052954*J61</f>
        <v>-378.39036837499998</v>
      </c>
      <c r="P61" s="188">
        <f>280.47+0.98565*J61</f>
        <v>9650.9829468749995</v>
      </c>
      <c r="Q61" s="188">
        <f>23.4393-0.0000004*J61</f>
        <v>23.435497224999999</v>
      </c>
      <c r="R61" s="188">
        <f>-0.000319*SIN(RADIANS(O61))-0.000024*SIN((RADIANS(2*P61)))</f>
        <v>1.1668967270040724E-4</v>
      </c>
      <c r="S61" s="188">
        <f>N61+R61*COS(RADIANS(Q61))</f>
        <v>17.925422532357235</v>
      </c>
      <c r="T61" s="188">
        <f>S61-'Data Entry-V'!$F$9/15</f>
        <v>29.556533643468349</v>
      </c>
      <c r="U61" s="188">
        <f>IF(T61&lt;0,T61+24,IF(T61&gt;24,T61-24,T61))</f>
        <v>5.5565336434683488</v>
      </c>
      <c r="V61" s="188">
        <f>U61-B61</f>
        <v>-4.0744663565316515</v>
      </c>
      <c r="W61" s="188">
        <f>V61*15</f>
        <v>-61.116995347974772</v>
      </c>
      <c r="X61" s="188">
        <f>IF(W61&lt;0,W61+360,W61)</f>
        <v>298.88300465202525</v>
      </c>
      <c r="Y61" s="188">
        <f>-SIN(RADIANS(X61))</f>
        <v>0.87560784201394815</v>
      </c>
      <c r="Z61" s="188">
        <f>TAN(RADIANS(C61))*COS(RADIANS('Data Entry-V'!$F$8))-SIN(RADIANS('Data Entry-V'!$F$8))*COS(RADIANS(X61))</f>
        <v>0.1567142274802685</v>
      </c>
      <c r="AA61" s="188">
        <f>DEGREES(ATAN2(Z61,Y61))</f>
        <v>79.852774809120433</v>
      </c>
      <c r="AB61" s="126">
        <f>IF(AA61&lt;0,AA61+360,AA61)</f>
        <v>79.852774809120433</v>
      </c>
      <c r="AC61" s="126">
        <f>DEGREES(ASIN((SIN(RADIANS('Data Entry-V'!$F$8))*SIN(RADIANS(C61)))+(COS(RADIANS('Data Entry-V'!$F$8))*COS(RADIANS(C61))*COS(RADIANS((U61-B61)*15)))))</f>
        <v>28.655942898902335</v>
      </c>
      <c r="AD61" s="188">
        <f>1/(COS((4*ATAN(1))/2-(AC61*(4*ATAN(1))/180)))</f>
        <v>2.085293154940616</v>
      </c>
      <c r="AE61" s="188">
        <f>IF(AC61&gt;10,AD61-((AD61-1)*(0.0018161+(AD61-1)*(0.002875+(AD61-1)*0.0008083))),"")</f>
        <v>2.0789025331179967</v>
      </c>
      <c r="AF61" s="87"/>
      <c r="AG61" s="87"/>
      <c r="AH61" s="87"/>
      <c r="AI61" s="87"/>
    </row>
    <row r="62" spans="1:35">
      <c r="A62" s="42" t="s">
        <v>129</v>
      </c>
      <c r="B62" s="187">
        <v>8.8071999999999999</v>
      </c>
      <c r="C62" s="187">
        <v>5.8377999999999997</v>
      </c>
      <c r="D62" s="172">
        <v>4.37</v>
      </c>
      <c r="E62" s="172">
        <v>-0.05</v>
      </c>
      <c r="F62" s="172">
        <v>-0.05</v>
      </c>
      <c r="G62" s="188">
        <f>IF($AH$3&gt;0.5,($AH$2+2415019)+((((HOUR($AH$3)*60)+MINUTE($AH$3))/1440+DAY($AH$2))-0.5)-DAY($AH$2),($AH$2+2415019)+((((HOUR($AH$3)*60)+MINUTE($AH$3))/1440+DAY($AH$2))-1.5)-DAY($AH$2)+1)</f>
        <v>2461051.9375</v>
      </c>
      <c r="H62" s="188">
        <f>IF((G62-ROUNDDOWN(G62,0))&lt;0.5,ROUNDDOWN(G62,0)-0.5,ROUNDDOWN(G62,0)+0.5)</f>
        <v>2461051.5</v>
      </c>
      <c r="I62" s="188">
        <f>$AH$3*24</f>
        <v>10.5</v>
      </c>
      <c r="J62" s="188">
        <f>G62-2451545</f>
        <v>9506.9375</v>
      </c>
      <c r="K62" s="188">
        <f>G62-2451545</f>
        <v>9506.9375</v>
      </c>
      <c r="L62" s="188">
        <f>AVERAGE(H62-2451545)/36525</f>
        <v>0.26027378507871324</v>
      </c>
      <c r="M62" s="188">
        <f>6.697374558+(0.065707485828*K62)+(1.0027379093*I62)+(0.0854103*L62)+(0.000025862*L62*L62)</f>
        <v>641.92531546860243</v>
      </c>
      <c r="N62" s="188">
        <f>M62-24*(ROUNDDOWN(M62/24,0))</f>
        <v>17.925315468602435</v>
      </c>
      <c r="O62" s="188">
        <f>125.04-0.052954*J62</f>
        <v>-378.39036837499998</v>
      </c>
      <c r="P62" s="188">
        <f>280.47+0.98565*J62</f>
        <v>9650.9829468749995</v>
      </c>
      <c r="Q62" s="188">
        <f>23.4393-0.0000004*J62</f>
        <v>23.435497224999999</v>
      </c>
      <c r="R62" s="188">
        <f>-0.000319*SIN(RADIANS(O62))-0.000024*SIN((RADIANS(2*P62)))</f>
        <v>1.1668967270040724E-4</v>
      </c>
      <c r="S62" s="188">
        <f>N62+R62*COS(RADIANS(Q62))</f>
        <v>17.925422532357235</v>
      </c>
      <c r="T62" s="188">
        <f>S62-'Data Entry-V'!$F$9/15</f>
        <v>29.556533643468349</v>
      </c>
      <c r="U62" s="188">
        <f>IF(T62&lt;0,T62+24,IF(T62&gt;24,T62-24,T62))</f>
        <v>5.5565336434683488</v>
      </c>
      <c r="V62" s="188">
        <f>U62-B62</f>
        <v>-3.2506663565316511</v>
      </c>
      <c r="W62" s="188">
        <f>V62*15</f>
        <v>-48.759995347974765</v>
      </c>
      <c r="X62" s="188">
        <f>IF(W62&lt;0,W62+360,W62)</f>
        <v>311.24000465202522</v>
      </c>
      <c r="Y62" s="188">
        <f>-SIN(RADIANS(X62))</f>
        <v>0.75195482005733005</v>
      </c>
      <c r="Z62" s="188">
        <f>TAN(RADIANS(C62))*COS(RADIANS('Data Entry-V'!$F$8))-SIN(RADIANS('Data Entry-V'!$F$8))*COS(RADIANS(X62))</f>
        <v>0.47702559291483299</v>
      </c>
      <c r="AA62" s="188">
        <f>DEGREES(ATAN2(Z62,Y62))</f>
        <v>57.609748453753895</v>
      </c>
      <c r="AB62" s="126">
        <f>IF(AA62&lt;0,AA62+360,AA62)</f>
        <v>57.609748453753895</v>
      </c>
      <c r="AC62" s="126">
        <f>DEGREES(ASIN((SIN(RADIANS('Data Entry-V'!$F$8))*SIN(RADIANS(C62)))+(COS(RADIANS('Data Entry-V'!$F$8))*COS(RADIANS(C62))*COS(RADIANS((U62-B62)*15)))))</f>
        <v>27.63983328278978</v>
      </c>
      <c r="AD62" s="188">
        <f>1/(COS((4*ATAN(1))/2-(AC62*(4*ATAN(1))/180)))</f>
        <v>2.1555810856004696</v>
      </c>
      <c r="AE62" s="188">
        <f>IF(AC62&gt;10,AD62-((AD62-1)*(0.0018161+(AD62-1)*(0.002875+(AD62-1)*0.0008083))),"")</f>
        <v>2.1483959443932923</v>
      </c>
      <c r="AF62" s="87"/>
      <c r="AG62" s="87"/>
      <c r="AH62" s="87"/>
      <c r="AI62" s="87"/>
    </row>
    <row r="63" spans="1:35">
      <c r="A63" s="42" t="s">
        <v>130</v>
      </c>
      <c r="B63" s="187">
        <v>2.4693000000000001</v>
      </c>
      <c r="C63" s="187">
        <v>8.4600000000000009</v>
      </c>
      <c r="D63" s="172">
        <v>4.28</v>
      </c>
      <c r="E63" s="172">
        <v>-0.06</v>
      </c>
      <c r="F63" s="172">
        <v>-0.13</v>
      </c>
      <c r="G63" s="188">
        <f>IF($AH$3&gt;0.5,($AH$2+2415019)+((((HOUR($AH$3)*60)+MINUTE($AH$3))/1440+DAY($AH$2))-0.5)-DAY($AH$2),($AH$2+2415019)+((((HOUR($AH$3)*60)+MINUTE($AH$3))/1440+DAY($AH$2))-1.5)-DAY($AH$2)+1)</f>
        <v>2461051.9375</v>
      </c>
      <c r="H63" s="188">
        <f>IF((G63-ROUNDDOWN(G63,0))&lt;0.5,ROUNDDOWN(G63,0)-0.5,ROUNDDOWN(G63,0)+0.5)</f>
        <v>2461051.5</v>
      </c>
      <c r="I63" s="188">
        <f>$AH$3*24</f>
        <v>10.5</v>
      </c>
      <c r="J63" s="188">
        <f>G63-2451545</f>
        <v>9506.9375</v>
      </c>
      <c r="K63" s="188">
        <f>G63-2451545</f>
        <v>9506.9375</v>
      </c>
      <c r="L63" s="188">
        <f>AVERAGE(H63-2451545)/36525</f>
        <v>0.26027378507871324</v>
      </c>
      <c r="M63" s="188">
        <f>6.697374558+(0.065707485828*K63)+(1.0027379093*I63)+(0.0854103*L63)+(0.000025862*L63*L63)</f>
        <v>641.92531546860243</v>
      </c>
      <c r="N63" s="188">
        <f>M63-24*(ROUNDDOWN(M63/24,0))</f>
        <v>17.925315468602435</v>
      </c>
      <c r="O63" s="188">
        <f>125.04-0.052954*J63</f>
        <v>-378.39036837499998</v>
      </c>
      <c r="P63" s="188">
        <f>280.47+0.98565*J63</f>
        <v>9650.9829468749995</v>
      </c>
      <c r="Q63" s="188">
        <f>23.4393-0.0000004*J63</f>
        <v>23.435497224999999</v>
      </c>
      <c r="R63" s="188">
        <f>-0.000319*SIN(RADIANS(O63))-0.000024*SIN((RADIANS(2*P63)))</f>
        <v>1.1668967270040724E-4</v>
      </c>
      <c r="S63" s="188">
        <f>N63+R63*COS(RADIANS(Q63))</f>
        <v>17.925422532357235</v>
      </c>
      <c r="T63" s="188">
        <f>S63-'Data Entry-V'!$F$9/15</f>
        <v>29.556533643468349</v>
      </c>
      <c r="U63" s="188">
        <f>IF(T63&lt;0,T63+24,IF(T63&gt;24,T63-24,T63))</f>
        <v>5.5565336434683488</v>
      </c>
      <c r="V63" s="188">
        <f>U63-B63</f>
        <v>3.0872336434683487</v>
      </c>
      <c r="W63" s="188">
        <f>V63*15</f>
        <v>46.308504652025228</v>
      </c>
      <c r="X63" s="188">
        <f>IF(W63&lt;0,W63+360,W63)</f>
        <v>46.308504652025228</v>
      </c>
      <c r="Y63" s="188">
        <f>-SIN(RADIANS(X63))</f>
        <v>-0.72306968850860265</v>
      </c>
      <c r="Z63" s="188">
        <f>TAN(RADIANS(C63))*COS(RADIANS('Data Entry-V'!$F$8))-SIN(RADIANS('Data Entry-V'!$F$8))*COS(RADIANS(X63))</f>
        <v>0.53315911366240132</v>
      </c>
      <c r="AA63" s="188">
        <f>DEGREES(ATAN2(Z63,Y63))</f>
        <v>-53.596603629053703</v>
      </c>
      <c r="AB63" s="126">
        <f>IF(AA63&lt;0,AA63+360,AA63)</f>
        <v>306.40339637094633</v>
      </c>
      <c r="AC63" s="126">
        <f>DEGREES(ASIN((SIN(RADIANS('Data Entry-V'!$F$8))*SIN(RADIANS(C63)))+(COS(RADIANS('Data Entry-V'!$F$8))*COS(RADIANS(C63))*COS(RADIANS((U63-B63)*15)))))</f>
        <v>27.301460055601659</v>
      </c>
      <c r="AD63" s="188">
        <f>1/(COS((4*ATAN(1))/2-(AC63*(4*ATAN(1))/180)))</f>
        <v>2.180206262076239</v>
      </c>
      <c r="AE63" s="188">
        <f>IF(AC63&gt;10,AD63-((AD63-1)*(0.0018161+(AD63-1)*(0.002875+(AD63-1)*0.0008083))),"")</f>
        <v>2.1727295805562203</v>
      </c>
      <c r="AF63" s="87"/>
      <c r="AG63" s="87"/>
      <c r="AH63" s="87"/>
      <c r="AI63" s="87"/>
    </row>
    <row r="64" spans="1:35">
      <c r="A64" s="42" t="s">
        <v>131</v>
      </c>
      <c r="B64" s="187">
        <v>8.6348000000000003</v>
      </c>
      <c r="C64" s="187">
        <v>9.5746000000000002</v>
      </c>
      <c r="D64" s="172">
        <v>6.52</v>
      </c>
      <c r="E64" s="172">
        <v>-0.02</v>
      </c>
      <c r="F64" s="172">
        <v>-0.04</v>
      </c>
      <c r="G64" s="188">
        <f>IF($AH$3&gt;0.5,($AH$2+2415019)+((((HOUR($AH$3)*60)+MINUTE($AH$3))/1440+DAY($AH$2))-0.5)-DAY($AH$2),($AH$2+2415019)+((((HOUR($AH$3)*60)+MINUTE($AH$3))/1440+DAY($AH$2))-1.5)-DAY($AH$2)+1)</f>
        <v>2461051.9375</v>
      </c>
      <c r="H64" s="188">
        <f>IF((G64-ROUNDDOWN(G64,0))&lt;0.5,ROUNDDOWN(G64,0)-0.5,ROUNDDOWN(G64,0)+0.5)</f>
        <v>2461051.5</v>
      </c>
      <c r="I64" s="188">
        <f>$AH$3*24</f>
        <v>10.5</v>
      </c>
      <c r="J64" s="188">
        <f>G64-2451545</f>
        <v>9506.9375</v>
      </c>
      <c r="K64" s="188">
        <f>G64-2451545</f>
        <v>9506.9375</v>
      </c>
      <c r="L64" s="188">
        <f>AVERAGE(H64-2451545)/36525</f>
        <v>0.26027378507871324</v>
      </c>
      <c r="M64" s="188">
        <f>6.697374558+(0.065707485828*K64)+(1.0027379093*I64)+(0.0854103*L64)+(0.000025862*L64*L64)</f>
        <v>641.92531546860243</v>
      </c>
      <c r="N64" s="188">
        <f>M64-24*(ROUNDDOWN(M64/24,0))</f>
        <v>17.925315468602435</v>
      </c>
      <c r="O64" s="188">
        <f>125.04-0.052954*J64</f>
        <v>-378.39036837499998</v>
      </c>
      <c r="P64" s="188">
        <f>280.47+0.98565*J64</f>
        <v>9650.9829468749995</v>
      </c>
      <c r="Q64" s="188">
        <f>23.4393-0.0000004*J64</f>
        <v>23.435497224999999</v>
      </c>
      <c r="R64" s="188">
        <f>-0.000319*SIN(RADIANS(O64))-0.000024*SIN((RADIANS(2*P64)))</f>
        <v>1.1668967270040724E-4</v>
      </c>
      <c r="S64" s="188">
        <f>N64+R64*COS(RADIANS(Q64))</f>
        <v>17.925422532357235</v>
      </c>
      <c r="T64" s="188">
        <f>S64-'Data Entry-V'!$F$9/15</f>
        <v>29.556533643468349</v>
      </c>
      <c r="U64" s="188">
        <f>IF(T64&lt;0,T64+24,IF(T64&gt;24,T64-24,T64))</f>
        <v>5.5565336434683488</v>
      </c>
      <c r="V64" s="188">
        <f>U64-B64</f>
        <v>-3.0782663565316515</v>
      </c>
      <c r="W64" s="188">
        <f>V64*15</f>
        <v>-46.173995347974774</v>
      </c>
      <c r="X64" s="188">
        <f>IF(W64&lt;0,W64+360,W64)</f>
        <v>313.82600465202523</v>
      </c>
      <c r="Y64" s="188">
        <f>-SIN(RADIANS(X64))</f>
        <v>0.72144601296307398</v>
      </c>
      <c r="Z64" s="188">
        <f>TAN(RADIANS(C64))*COS(RADIANS('Data Entry-V'!$F$8))-SIN(RADIANS('Data Entry-V'!$F$8))*COS(RADIANS(X64))</f>
        <v>0.55013846014199785</v>
      </c>
      <c r="AA64" s="188">
        <f>DEGREES(ATAN2(Z64,Y64))</f>
        <v>52.672677910312068</v>
      </c>
      <c r="AB64" s="126">
        <f>IF(AA64&lt;0,AA64+360,AA64)</f>
        <v>52.672677910312068</v>
      </c>
      <c r="AC64" s="126">
        <f>DEGREES(ASIN((SIN(RADIANS('Data Entry-V'!$F$8))*SIN(RADIANS(C64)))+(COS(RADIANS('Data Entry-V'!$F$8))*COS(RADIANS(C64))*COS(RADIANS((U64-B64)*15)))))</f>
        <v>26.539001121709667</v>
      </c>
      <c r="AD64" s="188">
        <f>1/(COS((4*ATAN(1))/2-(AC64*(4*ATAN(1))/180)))</f>
        <v>2.2381033574819207</v>
      </c>
      <c r="AE64" s="188">
        <f>IF(AC64&gt;10,AD64-((AD64-1)*(0.0018161+(AD64-1)*(0.002875+(AD64-1)*0.0008083))),"")</f>
        <v>2.2299136873846677</v>
      </c>
      <c r="AF64" s="87"/>
      <c r="AG64" s="87"/>
      <c r="AH64" s="87"/>
      <c r="AI64" s="87"/>
    </row>
    <row r="65" spans="1:35">
      <c r="A65" s="42" t="s">
        <v>132</v>
      </c>
      <c r="B65" s="187">
        <v>23.630800000000001</v>
      </c>
      <c r="C65" s="187">
        <v>-45.492400000000004</v>
      </c>
      <c r="D65" s="172">
        <v>4.7300000000000004</v>
      </c>
      <c r="E65" s="172">
        <v>0.08</v>
      </c>
      <c r="F65" s="172">
        <v>0.08</v>
      </c>
      <c r="G65" s="188">
        <f>IF($AH$3&gt;0.5,($AH$2+2415019)+((((HOUR($AH$3)*60)+MINUTE($AH$3))/1440+DAY($AH$2))-0.5)-DAY($AH$2),($AH$2+2415019)+((((HOUR($AH$3)*60)+MINUTE($AH$3))/1440+DAY($AH$2))-1.5)-DAY($AH$2)+1)</f>
        <v>2461051.9375</v>
      </c>
      <c r="H65" s="188">
        <f>IF((G65-ROUNDDOWN(G65,0))&lt;0.5,ROUNDDOWN(G65,0)-0.5,ROUNDDOWN(G65,0)+0.5)</f>
        <v>2461051.5</v>
      </c>
      <c r="I65" s="188">
        <f>$AH$3*24</f>
        <v>10.5</v>
      </c>
      <c r="J65" s="188">
        <f>G65-2451545</f>
        <v>9506.9375</v>
      </c>
      <c r="K65" s="188">
        <f>G65-2451545</f>
        <v>9506.9375</v>
      </c>
      <c r="L65" s="188">
        <f>AVERAGE(H65-2451545)/36525</f>
        <v>0.26027378507871324</v>
      </c>
      <c r="M65" s="188">
        <f>6.697374558+(0.065707485828*K65)+(1.0027379093*I65)+(0.0854103*L65)+(0.000025862*L65*L65)</f>
        <v>641.92531546860243</v>
      </c>
      <c r="N65" s="188">
        <f>M65-24*(ROUNDDOWN(M65/24,0))</f>
        <v>17.925315468602435</v>
      </c>
      <c r="O65" s="188">
        <f>125.04-0.052954*J65</f>
        <v>-378.39036837499998</v>
      </c>
      <c r="P65" s="188">
        <f>280.47+0.98565*J65</f>
        <v>9650.9829468749995</v>
      </c>
      <c r="Q65" s="188">
        <f>23.4393-0.0000004*J65</f>
        <v>23.435497224999999</v>
      </c>
      <c r="R65" s="188">
        <f>-0.000319*SIN(RADIANS(O65))-0.000024*SIN((RADIANS(2*P65)))</f>
        <v>1.1668967270040724E-4</v>
      </c>
      <c r="S65" s="188">
        <f>N65+R65*COS(RADIANS(Q65))</f>
        <v>17.925422532357235</v>
      </c>
      <c r="T65" s="188">
        <f>S65-'Data Entry-V'!$F$9/15</f>
        <v>29.556533643468349</v>
      </c>
      <c r="U65" s="188">
        <f>IF(T65&lt;0,T65+24,IF(T65&gt;24,T65-24,T65))</f>
        <v>5.5565336434683488</v>
      </c>
      <c r="V65" s="188">
        <f>U65-B65</f>
        <v>-18.074266356531652</v>
      </c>
      <c r="W65" s="188">
        <f>V65*15</f>
        <v>-271.11399534797476</v>
      </c>
      <c r="X65" s="188">
        <f>IF(W65&lt;0,W65+360,W65)</f>
        <v>88.886004652025235</v>
      </c>
      <c r="Y65" s="188">
        <f>-SIN(RADIANS(X65))</f>
        <v>-0.99981099303312881</v>
      </c>
      <c r="Z65" s="188">
        <f>TAN(RADIANS(C65))*COS(RADIANS('Data Entry-V'!$F$8))-SIN(RADIANS('Data Entry-V'!$F$8))*COS(RADIANS(X65))</f>
        <v>-0.80260424606202507</v>
      </c>
      <c r="AA65" s="188">
        <f>DEGREES(ATAN2(Z65,Y65))</f>
        <v>-128.75596279492223</v>
      </c>
      <c r="AB65" s="126">
        <f>IF(AA65&lt;0,AA65+360,AA65)</f>
        <v>231.24403720507777</v>
      </c>
      <c r="AC65" s="126">
        <f>DEGREES(ASIN((SIN(RADIANS('Data Entry-V'!$F$8))*SIN(RADIANS(C65)))+(COS(RADIANS('Data Entry-V'!$F$8))*COS(RADIANS(C65))*COS(RADIANS((U65-B65)*15)))))</f>
        <v>26.004291399090313</v>
      </c>
      <c r="AD65" s="188">
        <f>1/(COS((4*ATAN(1))/2-(AC65*(4*ATAN(1))/180)))</f>
        <v>2.2808217828880366</v>
      </c>
      <c r="AE65" s="188">
        <f>IF(AC65&gt;10,AD65-((AD65-1)*(0.0018161+(AD65-1)*(0.002875+(AD65-1)*0.0008083))),"")</f>
        <v>2.2720808372189474</v>
      </c>
      <c r="AF65" s="87"/>
      <c r="AG65" s="87"/>
      <c r="AH65" s="87"/>
      <c r="AI65" s="87"/>
    </row>
    <row r="66" spans="1:35">
      <c r="A66" s="42" t="s">
        <v>133</v>
      </c>
      <c r="B66" s="187">
        <v>5.8887999999999998</v>
      </c>
      <c r="C66" s="187">
        <v>27.612300000000001</v>
      </c>
      <c r="D66" s="172">
        <v>4.6100000000000003</v>
      </c>
      <c r="E66" s="172">
        <v>-0.02</v>
      </c>
      <c r="F66" s="172">
        <v>0.01</v>
      </c>
      <c r="G66" s="188">
        <f>IF($AH$3&gt;0.5,($AH$2+2415019)+((((HOUR($AH$3)*60)+MINUTE($AH$3))/1440+DAY($AH$2))-0.5)-DAY($AH$2),($AH$2+2415019)+((((HOUR($AH$3)*60)+MINUTE($AH$3))/1440+DAY($AH$2))-1.5)-DAY($AH$2)+1)</f>
        <v>2461051.9375</v>
      </c>
      <c r="H66" s="188">
        <f>IF((G66-ROUNDDOWN(G66,0))&lt;0.5,ROUNDDOWN(G66,0)-0.5,ROUNDDOWN(G66,0)+0.5)</f>
        <v>2461051.5</v>
      </c>
      <c r="I66" s="188">
        <f>$AH$3*24</f>
        <v>10.5</v>
      </c>
      <c r="J66" s="188">
        <f>G66-2451545</f>
        <v>9506.9375</v>
      </c>
      <c r="K66" s="188">
        <f>G66-2451545</f>
        <v>9506.9375</v>
      </c>
      <c r="L66" s="188">
        <f>AVERAGE(H66-2451545)/36525</f>
        <v>0.26027378507871324</v>
      </c>
      <c r="M66" s="188">
        <f>6.697374558+(0.065707485828*K66)+(1.0027379093*I66)+(0.0854103*L66)+(0.000025862*L66*L66)</f>
        <v>641.92531546860243</v>
      </c>
      <c r="N66" s="188">
        <f>M66-24*(ROUNDDOWN(M66/24,0))</f>
        <v>17.925315468602435</v>
      </c>
      <c r="O66" s="188">
        <f>125.04-0.052954*J66</f>
        <v>-378.39036837499998</v>
      </c>
      <c r="P66" s="188">
        <f>280.47+0.98565*J66</f>
        <v>9650.9829468749995</v>
      </c>
      <c r="Q66" s="188">
        <f>23.4393-0.0000004*J66</f>
        <v>23.435497224999999</v>
      </c>
      <c r="R66" s="188">
        <f>-0.000319*SIN(RADIANS(O66))-0.000024*SIN((RADIANS(2*P66)))</f>
        <v>1.1668967270040724E-4</v>
      </c>
      <c r="S66" s="188">
        <f>N66+R66*COS(RADIANS(Q66))</f>
        <v>17.925422532357235</v>
      </c>
      <c r="T66" s="188">
        <f>S66-'Data Entry-V'!$F$9/15</f>
        <v>29.556533643468349</v>
      </c>
      <c r="U66" s="188">
        <f>IF(T66&lt;0,T66+24,IF(T66&gt;24,T66-24,T66))</f>
        <v>5.5565336434683488</v>
      </c>
      <c r="V66" s="188">
        <f>U66-B66</f>
        <v>-0.33226635653165104</v>
      </c>
      <c r="W66" s="188">
        <f>V66*15</f>
        <v>-4.9839953479747656</v>
      </c>
      <c r="X66" s="188">
        <f>IF(W66&lt;0,W66+360,W66)</f>
        <v>355.01600465202523</v>
      </c>
      <c r="Y66" s="188">
        <f>-SIN(RADIANS(X66))</f>
        <v>8.6877468427254009E-2</v>
      </c>
      <c r="Z66" s="188">
        <f>TAN(RADIANS(C66))*COS(RADIANS('Data Entry-V'!$F$8))-SIN(RADIANS('Data Entry-V'!$F$8))*COS(RADIANS(X66))</f>
        <v>1.0158714681535352</v>
      </c>
      <c r="AA66" s="188">
        <f>DEGREES(ATAN2(Z66,Y66))</f>
        <v>4.8880495727194759</v>
      </c>
      <c r="AB66" s="126">
        <f>IF(AA66&lt;0,AA66+360,AA66)</f>
        <v>4.8880495727194759</v>
      </c>
      <c r="AC66" s="126">
        <f>DEGREES(ASIN((SIN(RADIANS('Data Entry-V'!$F$8))*SIN(RADIANS(C66)))+(COS(RADIANS('Data Entry-V'!$F$8))*COS(RADIANS(C66))*COS(RADIANS((U66-B66)*15)))))</f>
        <v>25.384185252448809</v>
      </c>
      <c r="AD66" s="188">
        <f>1/(COS((4*ATAN(1))/2-(AC66*(4*ATAN(1))/180)))</f>
        <v>2.3327109249152649</v>
      </c>
      <c r="AE66" s="188">
        <f>IF(AC66&gt;10,AD66-((AD66-1)*(0.0018161+(AD66-1)*(0.002875+(AD66-1)*0.0008083))),"")</f>
        <v>2.3232709597160386</v>
      </c>
      <c r="AF66" s="87"/>
      <c r="AG66" s="95"/>
      <c r="AH66" s="87"/>
      <c r="AI66" s="87"/>
    </row>
    <row r="67" spans="1:35">
      <c r="A67" s="42" t="s">
        <v>134</v>
      </c>
      <c r="B67" s="187">
        <v>9.2035999999999998</v>
      </c>
      <c r="C67" s="187">
        <v>3.87</v>
      </c>
      <c r="D67" s="172">
        <v>6.14</v>
      </c>
      <c r="E67" s="172">
        <v>0</v>
      </c>
      <c r="F67" s="172">
        <v>0</v>
      </c>
      <c r="G67" s="188">
        <f>IF($AH$3&gt;0.5,($AH$2+2415019)+((((HOUR($AH$3)*60)+MINUTE($AH$3))/1440+DAY($AH$2))-0.5)-DAY($AH$2),($AH$2+2415019)+((((HOUR($AH$3)*60)+MINUTE($AH$3))/1440+DAY($AH$2))-1.5)-DAY($AH$2)+1)</f>
        <v>2461051.9375</v>
      </c>
      <c r="H67" s="188">
        <f>IF((G67-ROUNDDOWN(G67,0))&lt;0.5,ROUNDDOWN(G67,0)-0.5,ROUNDDOWN(G67,0)+0.5)</f>
        <v>2461051.5</v>
      </c>
      <c r="I67" s="188">
        <f>$AH$3*24</f>
        <v>10.5</v>
      </c>
      <c r="J67" s="188">
        <f>G67-2451545</f>
        <v>9506.9375</v>
      </c>
      <c r="K67" s="188">
        <f>G67-2451545</f>
        <v>9506.9375</v>
      </c>
      <c r="L67" s="188">
        <f>AVERAGE(H67-2451545)/36525</f>
        <v>0.26027378507871324</v>
      </c>
      <c r="M67" s="188">
        <f>6.697374558+(0.065707485828*K67)+(1.0027379093*I67)+(0.0854103*L67)+(0.000025862*L67*L67)</f>
        <v>641.92531546860243</v>
      </c>
      <c r="N67" s="188">
        <f>M67-24*(ROUNDDOWN(M67/24,0))</f>
        <v>17.925315468602435</v>
      </c>
      <c r="O67" s="188">
        <f>125.04-0.052954*J67</f>
        <v>-378.39036837499998</v>
      </c>
      <c r="P67" s="188">
        <f>280.47+0.98565*J67</f>
        <v>9650.9829468749995</v>
      </c>
      <c r="Q67" s="188">
        <f>23.4393-0.0000004*J67</f>
        <v>23.435497224999999</v>
      </c>
      <c r="R67" s="188">
        <f>-0.000319*SIN(RADIANS(O67))-0.000024*SIN((RADIANS(2*P67)))</f>
        <v>1.1668967270040724E-4</v>
      </c>
      <c r="S67" s="188">
        <f>N67+R67*COS(RADIANS(Q67))</f>
        <v>17.925422532357235</v>
      </c>
      <c r="T67" s="188">
        <f>S67-'Data Entry-V'!$F$9/15</f>
        <v>29.556533643468349</v>
      </c>
      <c r="U67" s="188">
        <f>IF(T67&lt;0,T67+24,IF(T67&gt;24,T67-24,T67))</f>
        <v>5.5565336434683488</v>
      </c>
      <c r="V67" s="188">
        <f>U67-B67</f>
        <v>-3.647066356531651</v>
      </c>
      <c r="W67" s="188">
        <f>V67*15</f>
        <v>-54.705995347974763</v>
      </c>
      <c r="X67" s="188">
        <f>IF(W67&lt;0,W67+360,W67)</f>
        <v>305.29400465202525</v>
      </c>
      <c r="Y67" s="188">
        <f>-SIN(RADIANS(X67))</f>
        <v>0.81619805180284577</v>
      </c>
      <c r="Z67" s="188">
        <f>TAN(RADIANS(C67))*COS(RADIANS('Data Entry-V'!$F$8))-SIN(RADIANS('Data Entry-V'!$F$8))*COS(RADIANS(X67))</f>
        <v>0.40051189890998873</v>
      </c>
      <c r="AA67" s="188">
        <f>DEGREES(ATAN2(Z67,Y67))</f>
        <v>63.862614296758402</v>
      </c>
      <c r="AB67" s="126">
        <f>IF(AA67&lt;0,AA67+360,AA67)</f>
        <v>63.862614296758402</v>
      </c>
      <c r="AC67" s="126">
        <f>DEGREES(ASIN((SIN(RADIANS('Data Entry-V'!$F$8))*SIN(RADIANS(C67)))+(COS(RADIANS('Data Entry-V'!$F$8))*COS(RADIANS(C67))*COS(RADIANS((U67-B67)*15)))))</f>
        <v>24.892884611702794</v>
      </c>
      <c r="AD67" s="188">
        <f>1/(COS((4*ATAN(1))/2-(AC67*(4*ATAN(1))/180)))</f>
        <v>2.375730485250227</v>
      </c>
      <c r="AE67" s="188">
        <f>IF(AC67&gt;10,AD67-((AD67-1)*(0.0018161+(AD67-1)*(0.002875+(AD67-1)*0.0008083))),"")</f>
        <v>2.3656860823049661</v>
      </c>
      <c r="AF67" s="87"/>
      <c r="AG67" s="87"/>
      <c r="AH67" s="87"/>
      <c r="AI67" s="87"/>
    </row>
    <row r="68" spans="1:35">
      <c r="A68" s="42" t="s">
        <v>135</v>
      </c>
      <c r="B68" s="187">
        <v>9.5329999999999995</v>
      </c>
      <c r="C68" s="187">
        <v>-1.1847000000000001</v>
      </c>
      <c r="D68" s="172">
        <v>4.5599999999999996</v>
      </c>
      <c r="E68" s="172">
        <v>0.11</v>
      </c>
      <c r="F68" s="172">
        <v>0.09</v>
      </c>
      <c r="G68" s="188">
        <f>IF($AH$3&gt;0.5,($AH$2+2415019)+((((HOUR($AH$3)*60)+MINUTE($AH$3))/1440+DAY($AH$2))-0.5)-DAY($AH$2),($AH$2+2415019)+((((HOUR($AH$3)*60)+MINUTE($AH$3))/1440+DAY($AH$2))-1.5)-DAY($AH$2)+1)</f>
        <v>2461051.9375</v>
      </c>
      <c r="H68" s="188">
        <f>IF((G68-ROUNDDOWN(G68,0))&lt;0.5,ROUNDDOWN(G68,0)-0.5,ROUNDDOWN(G68,0)+0.5)</f>
        <v>2461051.5</v>
      </c>
      <c r="I68" s="188">
        <f>$AH$3*24</f>
        <v>10.5</v>
      </c>
      <c r="J68" s="188">
        <f>G68-2451545</f>
        <v>9506.9375</v>
      </c>
      <c r="K68" s="188">
        <f>G68-2451545</f>
        <v>9506.9375</v>
      </c>
      <c r="L68" s="188">
        <f>AVERAGE(H68-2451545)/36525</f>
        <v>0.26027378507871324</v>
      </c>
      <c r="M68" s="188">
        <f>6.697374558+(0.065707485828*K68)+(1.0027379093*I68)+(0.0854103*L68)+(0.000025862*L68*L68)</f>
        <v>641.92531546860243</v>
      </c>
      <c r="N68" s="188">
        <f>M68-24*(ROUNDDOWN(M68/24,0))</f>
        <v>17.925315468602435</v>
      </c>
      <c r="O68" s="188">
        <f>125.04-0.052954*J68</f>
        <v>-378.39036837499998</v>
      </c>
      <c r="P68" s="188">
        <f>280.47+0.98565*J68</f>
        <v>9650.9829468749995</v>
      </c>
      <c r="Q68" s="188">
        <f>23.4393-0.0000004*J68</f>
        <v>23.435497224999999</v>
      </c>
      <c r="R68" s="188">
        <f>-0.000319*SIN(RADIANS(O68))-0.000024*SIN((RADIANS(2*P68)))</f>
        <v>1.1668967270040724E-4</v>
      </c>
      <c r="S68" s="188">
        <f>N68+R68*COS(RADIANS(Q68))</f>
        <v>17.925422532357235</v>
      </c>
      <c r="T68" s="188">
        <f>S68-'Data Entry-V'!$F$9/15</f>
        <v>29.556533643468349</v>
      </c>
      <c r="U68" s="188">
        <f>IF(T68&lt;0,T68+24,IF(T68&gt;24,T68-24,T68))</f>
        <v>5.5565336434683488</v>
      </c>
      <c r="V68" s="188">
        <f>U68-B68</f>
        <v>-3.9764663565316507</v>
      </c>
      <c r="W68" s="188">
        <f>V68*15</f>
        <v>-59.646995347974759</v>
      </c>
      <c r="X68" s="188">
        <f>IF(W68&lt;0,W68+360,W68)</f>
        <v>300.35300465202522</v>
      </c>
      <c r="Y68" s="188">
        <f>-SIN(RADIANS(X68))</f>
        <v>0.86292843983860412</v>
      </c>
      <c r="Z68" s="188">
        <f>TAN(RADIANS(C68))*COS(RADIANS('Data Entry-V'!$F$8))-SIN(RADIANS('Data Entry-V'!$F$8))*COS(RADIANS(X68))</f>
        <v>0.286385830771056</v>
      </c>
      <c r="AA68" s="188">
        <f>DEGREES(ATAN2(Z68,Y68))</f>
        <v>71.640197748461901</v>
      </c>
      <c r="AB68" s="126">
        <f>IF(AA68&lt;0,AA68+360,AA68)</f>
        <v>71.640197748461901</v>
      </c>
      <c r="AC68" s="126">
        <f>DEGREES(ASIN((SIN(RADIANS('Data Entry-V'!$F$8))*SIN(RADIANS(C68)))+(COS(RADIANS('Data Entry-V'!$F$8))*COS(RADIANS(C68))*COS(RADIANS((U68-B68)*15)))))</f>
        <v>24.630363086673484</v>
      </c>
      <c r="AD68" s="188">
        <f>1/(COS((4*ATAN(1))/2-(AC68*(4*ATAN(1))/180)))</f>
        <v>2.3994477205730824</v>
      </c>
      <c r="AE68" s="188">
        <f>IF(AC68&gt;10,AD68-((AD68-1)*(0.0018161+(AD68-1)*(0.002875+(AD68-1)*0.0008083))),"")</f>
        <v>2.3890602771807559</v>
      </c>
      <c r="AF68" s="87"/>
      <c r="AG68" s="87"/>
      <c r="AH68" s="87"/>
      <c r="AI68" s="87"/>
    </row>
    <row r="69" spans="1:35">
      <c r="A69" s="42" t="s">
        <v>136</v>
      </c>
      <c r="B69" s="187">
        <v>3.2484000000000002</v>
      </c>
      <c r="C69" s="187">
        <v>21.044</v>
      </c>
      <c r="D69" s="172">
        <v>4.8899999999999997</v>
      </c>
      <c r="E69" s="172">
        <v>-0.02</v>
      </c>
      <c r="F69" s="172">
        <v>-0.01</v>
      </c>
      <c r="G69" s="188">
        <f>IF($AH$3&gt;0.5,($AH$2+2415019)+((((HOUR($AH$3)*60)+MINUTE($AH$3))/1440+DAY($AH$2))-0.5)-DAY($AH$2),($AH$2+2415019)+((((HOUR($AH$3)*60)+MINUTE($AH$3))/1440+DAY($AH$2))-1.5)-DAY($AH$2)+1)</f>
        <v>2461051.9375</v>
      </c>
      <c r="H69" s="188">
        <f>IF((G69-ROUNDDOWN(G69,0))&lt;0.5,ROUNDDOWN(G69,0)-0.5,ROUNDDOWN(G69,0)+0.5)</f>
        <v>2461051.5</v>
      </c>
      <c r="I69" s="188">
        <f>$AH$3*24</f>
        <v>10.5</v>
      </c>
      <c r="J69" s="188">
        <f>G69-2451545</f>
        <v>9506.9375</v>
      </c>
      <c r="K69" s="188">
        <f>G69-2451545</f>
        <v>9506.9375</v>
      </c>
      <c r="L69" s="188">
        <f>AVERAGE(H69-2451545)/36525</f>
        <v>0.26027378507871324</v>
      </c>
      <c r="M69" s="188">
        <f>6.697374558+(0.065707485828*K69)+(1.0027379093*I69)+(0.0854103*L69)+(0.000025862*L69*L69)</f>
        <v>641.92531546860243</v>
      </c>
      <c r="N69" s="188">
        <f>M69-24*(ROUNDDOWN(M69/24,0))</f>
        <v>17.925315468602435</v>
      </c>
      <c r="O69" s="188">
        <f>125.04-0.052954*J69</f>
        <v>-378.39036837499998</v>
      </c>
      <c r="P69" s="188">
        <f>280.47+0.98565*J69</f>
        <v>9650.9829468749995</v>
      </c>
      <c r="Q69" s="188">
        <f>23.4393-0.0000004*J69</f>
        <v>23.435497224999999</v>
      </c>
      <c r="R69" s="188">
        <f>-0.000319*SIN(RADIANS(O69))-0.000024*SIN((RADIANS(2*P69)))</f>
        <v>1.1668967270040724E-4</v>
      </c>
      <c r="S69" s="188">
        <f>N69+R69*COS(RADIANS(Q69))</f>
        <v>17.925422532357235</v>
      </c>
      <c r="T69" s="188">
        <f>S69-'Data Entry-V'!$F$9/15</f>
        <v>29.556533643468349</v>
      </c>
      <c r="U69" s="188">
        <f>IF(T69&lt;0,T69+24,IF(T69&gt;24,T69-24,T69))</f>
        <v>5.5565336434683488</v>
      </c>
      <c r="V69" s="188">
        <f>U69-B69</f>
        <v>2.3081336434683486</v>
      </c>
      <c r="W69" s="188">
        <f>V69*15</f>
        <v>34.622004652025225</v>
      </c>
      <c r="X69" s="188">
        <f>IF(W69&lt;0,W69+360,W69)</f>
        <v>34.622004652025225</v>
      </c>
      <c r="Y69" s="188">
        <f>-SIN(RADIANS(X69))</f>
        <v>-0.56815983167681694</v>
      </c>
      <c r="Z69" s="188">
        <f>TAN(RADIANS(C69))*COS(RADIANS('Data Entry-V'!$F$8))-SIN(RADIANS('Data Entry-V'!$F$8))*COS(RADIANS(X69))</f>
        <v>0.801274281679211</v>
      </c>
      <c r="AA69" s="188">
        <f>DEGREES(ATAN2(Z69,Y69))</f>
        <v>-35.339322907783895</v>
      </c>
      <c r="AB69" s="126">
        <f>IF(AA69&lt;0,AA69+360,AA69)</f>
        <v>324.66067709221613</v>
      </c>
      <c r="AC69" s="126">
        <f>DEGREES(ASIN((SIN(RADIANS('Data Entry-V'!$F$8))*SIN(RADIANS(C69)))+(COS(RADIANS('Data Entry-V'!$F$8))*COS(RADIANS(C69))*COS(RADIANS((U69-B69)*15)))))</f>
        <v>23.544010690195023</v>
      </c>
      <c r="AD69" s="188">
        <f>1/(COS((4*ATAN(1))/2-(AC69*(4*ATAN(1))/180)))</f>
        <v>2.5034210882371921</v>
      </c>
      <c r="AE69" s="188">
        <f>IF(AC69&gt;10,AD69-((AD69-1)*(0.0018161+(AD69-1)*(0.002875+(AD69-1)*0.0008083))),"")</f>
        <v>2.491445714017952</v>
      </c>
      <c r="AF69" s="87"/>
      <c r="AG69" s="87"/>
      <c r="AH69" s="87"/>
      <c r="AI69" s="87"/>
    </row>
    <row r="70" spans="1:35">
      <c r="A70" s="42" t="s">
        <v>137</v>
      </c>
      <c r="B70" s="187">
        <v>10.168799999999999</v>
      </c>
      <c r="C70" s="187">
        <v>-8.4082000000000008</v>
      </c>
      <c r="D70" s="172">
        <v>5.9</v>
      </c>
      <c r="E70" s="172">
        <v>0.02</v>
      </c>
      <c r="F70" s="172">
        <v>-0.06</v>
      </c>
      <c r="G70" s="188">
        <f>IF($AH$3&gt;0.5,($AH$2+2415019)+((((HOUR($AH$3)*60)+MINUTE($AH$3))/1440+DAY($AH$2))-0.5)-DAY($AH$2),($AH$2+2415019)+((((HOUR($AH$3)*60)+MINUTE($AH$3))/1440+DAY($AH$2))-1.5)-DAY($AH$2)+1)</f>
        <v>2461051.9375</v>
      </c>
      <c r="H70" s="188">
        <f>IF((G70-ROUNDDOWN(G70,0))&lt;0.5,ROUNDDOWN(G70,0)-0.5,ROUNDDOWN(G70,0)+0.5)</f>
        <v>2461051.5</v>
      </c>
      <c r="I70" s="188">
        <f>$AH$3*24</f>
        <v>10.5</v>
      </c>
      <c r="J70" s="188">
        <f>G70-2451545</f>
        <v>9506.9375</v>
      </c>
      <c r="K70" s="188">
        <f>G70-2451545</f>
        <v>9506.9375</v>
      </c>
      <c r="L70" s="188">
        <f>AVERAGE(H70-2451545)/36525</f>
        <v>0.26027378507871324</v>
      </c>
      <c r="M70" s="188">
        <f>6.697374558+(0.065707485828*K70)+(1.0027379093*I70)+(0.0854103*L70)+(0.000025862*L70*L70)</f>
        <v>641.92531546860243</v>
      </c>
      <c r="N70" s="188">
        <f>M70-24*(ROUNDDOWN(M70/24,0))</f>
        <v>17.925315468602435</v>
      </c>
      <c r="O70" s="188">
        <f>125.04-0.052954*J70</f>
        <v>-378.39036837499998</v>
      </c>
      <c r="P70" s="188">
        <f>280.47+0.98565*J70</f>
        <v>9650.9829468749995</v>
      </c>
      <c r="Q70" s="188">
        <f>23.4393-0.0000004*J70</f>
        <v>23.435497224999999</v>
      </c>
      <c r="R70" s="188">
        <f>-0.000319*SIN(RADIANS(O70))-0.000024*SIN((RADIANS(2*P70)))</f>
        <v>1.1668967270040724E-4</v>
      </c>
      <c r="S70" s="188">
        <f>N70+R70*COS(RADIANS(Q70))</f>
        <v>17.925422532357235</v>
      </c>
      <c r="T70" s="188">
        <f>S70-'Data Entry-V'!$F$9/15</f>
        <v>29.556533643468349</v>
      </c>
      <c r="U70" s="188">
        <f>IF(T70&lt;0,T70+24,IF(T70&gt;24,T70-24,T70))</f>
        <v>5.5565336434683488</v>
      </c>
      <c r="V70" s="188">
        <f>U70-B70</f>
        <v>-4.6122663565316504</v>
      </c>
      <c r="W70" s="188">
        <f>V70*15</f>
        <v>-69.183995347974758</v>
      </c>
      <c r="X70" s="188">
        <f>IF(W70&lt;0,W70+360,W70)</f>
        <v>290.81600465202524</v>
      </c>
      <c r="Y70" s="188">
        <f>-SIN(RADIANS(X70))</f>
        <v>0.9347264465229822</v>
      </c>
      <c r="Z70" s="188">
        <f>TAN(RADIANS(C70))*COS(RADIANS('Data Entry-V'!$F$8))-SIN(RADIANS('Data Entry-V'!$F$8))*COS(RADIANS(X70))</f>
        <v>9.4732086774390836E-2</v>
      </c>
      <c r="AA70" s="188">
        <f>DEGREES(ATAN2(Z70,Y70))</f>
        <v>84.212981633002556</v>
      </c>
      <c r="AB70" s="126">
        <f>IF(AA70&lt;0,AA70+360,AA70)</f>
        <v>84.212981633002556</v>
      </c>
      <c r="AC70" s="126">
        <f>DEGREES(ASIN((SIN(RADIANS('Data Entry-V'!$F$8))*SIN(RADIANS(C70)))+(COS(RADIANS('Data Entry-V'!$F$8))*COS(RADIANS(C70))*COS(RADIANS((U70-B70)*15)))))</f>
        <v>21.656013469870846</v>
      </c>
      <c r="AD70" s="188">
        <f>1/(COS((4*ATAN(1))/2-(AC70*(4*ATAN(1))/180)))</f>
        <v>2.7097822341848987</v>
      </c>
      <c r="AE70" s="188">
        <f>IF(AC70&gt;10,AD70-((AD70-1)*(0.0018161+(AD70-1)*(0.002875+(AD70-1)*0.0008083))),"")</f>
        <v>2.6942323255687004</v>
      </c>
      <c r="AF70" s="87"/>
      <c r="AG70" s="87"/>
      <c r="AH70" s="87"/>
      <c r="AI70" s="87"/>
    </row>
    <row r="71" spans="1:35">
      <c r="A71" s="42" t="s">
        <v>138</v>
      </c>
      <c r="B71" s="187">
        <v>23.8154</v>
      </c>
      <c r="C71" s="187">
        <v>-28.130299999999998</v>
      </c>
      <c r="D71" s="172">
        <v>4.57</v>
      </c>
      <c r="E71" s="172">
        <v>0</v>
      </c>
      <c r="F71" s="172">
        <v>0</v>
      </c>
      <c r="G71" s="188">
        <f>IF($AH$3&gt;0.5,($AH$2+2415019)+((((HOUR($AH$3)*60)+MINUTE($AH$3))/1440+DAY($AH$2))-0.5)-DAY($AH$2),($AH$2+2415019)+((((HOUR($AH$3)*60)+MINUTE($AH$3))/1440+DAY($AH$2))-1.5)-DAY($AH$2)+1)</f>
        <v>2461051.9375</v>
      </c>
      <c r="H71" s="188">
        <f>IF((G71-ROUNDDOWN(G71,0))&lt;0.5,ROUNDDOWN(G71,0)-0.5,ROUNDDOWN(G71,0)+0.5)</f>
        <v>2461051.5</v>
      </c>
      <c r="I71" s="188">
        <f>$AH$3*24</f>
        <v>10.5</v>
      </c>
      <c r="J71" s="188">
        <f>G71-2451545</f>
        <v>9506.9375</v>
      </c>
      <c r="K71" s="188">
        <f>G71-2451545</f>
        <v>9506.9375</v>
      </c>
      <c r="L71" s="188">
        <f>AVERAGE(H71-2451545)/36525</f>
        <v>0.26027378507871324</v>
      </c>
      <c r="M71" s="188">
        <f>6.697374558+(0.065707485828*K71)+(1.0027379093*I71)+(0.0854103*L71)+(0.000025862*L71*L71)</f>
        <v>641.92531546860243</v>
      </c>
      <c r="N71" s="188">
        <f>M71-24*(ROUNDDOWN(M71/24,0))</f>
        <v>17.925315468602435</v>
      </c>
      <c r="O71" s="188">
        <f>125.04-0.052954*J71</f>
        <v>-378.39036837499998</v>
      </c>
      <c r="P71" s="188">
        <f>280.47+0.98565*J71</f>
        <v>9650.9829468749995</v>
      </c>
      <c r="Q71" s="188">
        <f>23.4393-0.0000004*J71</f>
        <v>23.435497224999999</v>
      </c>
      <c r="R71" s="188">
        <f>-0.000319*SIN(RADIANS(O71))-0.000024*SIN((RADIANS(2*P71)))</f>
        <v>1.1668967270040724E-4</v>
      </c>
      <c r="S71" s="188">
        <f>N71+R71*COS(RADIANS(Q71))</f>
        <v>17.925422532357235</v>
      </c>
      <c r="T71" s="188">
        <f>S71-'Data Entry-V'!$F$9/15</f>
        <v>29.556533643468349</v>
      </c>
      <c r="U71" s="188">
        <f>IF(T71&lt;0,T71+24,IF(T71&gt;24,T71-24,T71))</f>
        <v>5.5565336434683488</v>
      </c>
      <c r="V71" s="188">
        <f>U71-B71</f>
        <v>-18.258866356531652</v>
      </c>
      <c r="W71" s="188">
        <f>V71*15</f>
        <v>-273.88299534797477</v>
      </c>
      <c r="X71" s="188">
        <f>IF(W71&lt;0,W71+360,W71)</f>
        <v>86.11700465202523</v>
      </c>
      <c r="Y71" s="188">
        <f>-SIN(RADIANS(X71))</f>
        <v>-0.99770442096134671</v>
      </c>
      <c r="Z71" s="188">
        <f>TAN(RADIANS(C71))*COS(RADIANS('Data Entry-V'!$F$8))-SIN(RADIANS('Data Entry-V'!$F$8))*COS(RADIANS(X71))</f>
        <v>-0.38731174956223208</v>
      </c>
      <c r="AA71" s="188">
        <f>DEGREES(ATAN2(Z71,Y71))</f>
        <v>-111.21635662517963</v>
      </c>
      <c r="AB71" s="126">
        <f>IF(AA71&lt;0,AA71+360,AA71)</f>
        <v>248.78364337482037</v>
      </c>
      <c r="AC71" s="126">
        <f>DEGREES(ASIN((SIN(RADIANS('Data Entry-V'!$F$8))*SIN(RADIANS(C71)))+(COS(RADIANS('Data Entry-V'!$F$8))*COS(RADIANS(C71))*COS(RADIANS((U71-B71)*15)))))</f>
        <v>19.295794281262992</v>
      </c>
      <c r="AD71" s="188">
        <f>1/(COS((4*ATAN(1))/2-(AC71*(4*ATAN(1))/180)))</f>
        <v>3.0262211769947975</v>
      </c>
      <c r="AE71" s="188">
        <f>IF(AC71&gt;10,AD71-((AD71-1)*(0.0018161+(AD71-1)*(0.002875+(AD71-1)*0.0008083))),"")</f>
        <v>3.0040137524919142</v>
      </c>
      <c r="AF71" s="87"/>
      <c r="AG71" s="87"/>
      <c r="AH71" s="87"/>
      <c r="AI71" s="87"/>
    </row>
    <row r="72" spans="1:35">
      <c r="A72" s="42" t="s">
        <v>139</v>
      </c>
      <c r="B72" s="187">
        <v>9.8699999999999992</v>
      </c>
      <c r="C72" s="187">
        <v>2.4546999999999999</v>
      </c>
      <c r="D72" s="172">
        <v>6.02</v>
      </c>
      <c r="E72" s="172">
        <v>-0.04</v>
      </c>
      <c r="F72" s="172">
        <v>-0.08</v>
      </c>
      <c r="G72" s="188">
        <f>IF($AH$3&gt;0.5,($AH$2+2415019)+((((HOUR($AH$3)*60)+MINUTE($AH$3))/1440+DAY($AH$2))-0.5)-DAY($AH$2),($AH$2+2415019)+((((HOUR($AH$3)*60)+MINUTE($AH$3))/1440+DAY($AH$2))-1.5)-DAY($AH$2)+1)</f>
        <v>2461051.9375</v>
      </c>
      <c r="H72" s="188">
        <f>IF((G72-ROUNDDOWN(G72,0))&lt;0.5,ROUNDDOWN(G72,0)-0.5,ROUNDDOWN(G72,0)+0.5)</f>
        <v>2461051.5</v>
      </c>
      <c r="I72" s="188">
        <f>$AH$3*24</f>
        <v>10.5</v>
      </c>
      <c r="J72" s="188">
        <f>G72-2451545</f>
        <v>9506.9375</v>
      </c>
      <c r="K72" s="188">
        <f>G72-2451545</f>
        <v>9506.9375</v>
      </c>
      <c r="L72" s="188">
        <f>AVERAGE(H72-2451545)/36525</f>
        <v>0.26027378507871324</v>
      </c>
      <c r="M72" s="188">
        <f>6.697374558+(0.065707485828*K72)+(1.0027379093*I72)+(0.0854103*L72)+(0.000025862*L72*L72)</f>
        <v>641.92531546860243</v>
      </c>
      <c r="N72" s="188">
        <f>M72-24*(ROUNDDOWN(M72/24,0))</f>
        <v>17.925315468602435</v>
      </c>
      <c r="O72" s="188">
        <f>125.04-0.052954*J72</f>
        <v>-378.39036837499998</v>
      </c>
      <c r="P72" s="188">
        <f>280.47+0.98565*J72</f>
        <v>9650.9829468749995</v>
      </c>
      <c r="Q72" s="188">
        <f>23.4393-0.0000004*J72</f>
        <v>23.435497224999999</v>
      </c>
      <c r="R72" s="188">
        <f>-0.000319*SIN(RADIANS(O72))-0.000024*SIN((RADIANS(2*P72)))</f>
        <v>1.1668967270040724E-4</v>
      </c>
      <c r="S72" s="188">
        <f>N72+R72*COS(RADIANS(Q72))</f>
        <v>17.925422532357235</v>
      </c>
      <c r="T72" s="188">
        <f>S72-'Data Entry-V'!$F$9/15</f>
        <v>29.556533643468349</v>
      </c>
      <c r="U72" s="188">
        <f>IF(T72&lt;0,T72+24,IF(T72&gt;24,T72-24,T72))</f>
        <v>5.5565336434683488</v>
      </c>
      <c r="V72" s="188">
        <f>U72-B72</f>
        <v>-4.3134663565316504</v>
      </c>
      <c r="W72" s="188">
        <f>V72*15</f>
        <v>-64.701995347974758</v>
      </c>
      <c r="X72" s="188">
        <f>IF(W72&lt;0,W72+360,W72)</f>
        <v>295.29800465202527</v>
      </c>
      <c r="Y72" s="188">
        <f>-SIN(RADIANS(X72))</f>
        <v>0.90409743201760262</v>
      </c>
      <c r="Z72" s="188">
        <f>TAN(RADIANS(C72))*COS(RADIANS('Data Entry-V'!$F$8))-SIN(RADIANS('Data Entry-V'!$F$8))*COS(RADIANS(X72))</f>
        <v>0.29048908049994943</v>
      </c>
      <c r="AA72" s="188">
        <f>DEGREES(ATAN2(Z72,Y72))</f>
        <v>72.187640164810247</v>
      </c>
      <c r="AB72" s="126">
        <f>IF(AA72&lt;0,AA72+360,AA72)</f>
        <v>72.187640164810247</v>
      </c>
      <c r="AC72" s="126">
        <f>DEGREES(ASIN((SIN(RADIANS('Data Entry-V'!$F$8))*SIN(RADIANS(C72)))+(COS(RADIANS('Data Entry-V'!$F$8))*COS(RADIANS(C72))*COS(RADIANS((U72-B72)*15)))))</f>
        <v>18.423306446598875</v>
      </c>
      <c r="AD72" s="188">
        <f>1/(COS((4*ATAN(1))/2-(AC72*(4*ATAN(1))/180)))</f>
        <v>3.1642066049378763</v>
      </c>
      <c r="AE72" s="188">
        <f>IF(AC72&gt;10,AD72-((AD72-1)*(0.0018161+(AD72-1)*(0.002875+(AD72-1)*0.0008083))),"")</f>
        <v>3.1386168060902171</v>
      </c>
      <c r="AF72" s="87"/>
      <c r="AG72" s="87"/>
      <c r="AH72" s="87"/>
      <c r="AI72" s="87"/>
    </row>
    <row r="73" spans="1:35">
      <c r="A73" s="42" t="s">
        <v>140</v>
      </c>
      <c r="B73" s="187">
        <v>7.8916000000000004</v>
      </c>
      <c r="C73" s="187">
        <v>26.765799999999999</v>
      </c>
      <c r="D73" s="172">
        <v>4.99</v>
      </c>
      <c r="E73" s="172">
        <v>0.09</v>
      </c>
      <c r="F73" s="172">
        <v>0.12</v>
      </c>
      <c r="G73" s="188">
        <f>IF($AH$3&gt;0.5,($AH$2+2415019)+((((HOUR($AH$3)*60)+MINUTE($AH$3))/1440+DAY($AH$2))-0.5)-DAY($AH$2),($AH$2+2415019)+((((HOUR($AH$3)*60)+MINUTE($AH$3))/1440+DAY($AH$2))-1.5)-DAY($AH$2)+1)</f>
        <v>2461051.9375</v>
      </c>
      <c r="H73" s="188">
        <f>IF((G73-ROUNDDOWN(G73,0))&lt;0.5,ROUNDDOWN(G73,0)-0.5,ROUNDDOWN(G73,0)+0.5)</f>
        <v>2461051.5</v>
      </c>
      <c r="I73" s="188">
        <f>$AH$3*24</f>
        <v>10.5</v>
      </c>
      <c r="J73" s="188">
        <f>G73-2451545</f>
        <v>9506.9375</v>
      </c>
      <c r="K73" s="188">
        <f>G73-2451545</f>
        <v>9506.9375</v>
      </c>
      <c r="L73" s="188">
        <f>AVERAGE(H73-2451545)/36525</f>
        <v>0.26027378507871324</v>
      </c>
      <c r="M73" s="188">
        <f>6.697374558+(0.065707485828*K73)+(1.0027379093*I73)+(0.0854103*L73)+(0.000025862*L73*L73)</f>
        <v>641.92531546860243</v>
      </c>
      <c r="N73" s="188">
        <f>M73-24*(ROUNDDOWN(M73/24,0))</f>
        <v>17.925315468602435</v>
      </c>
      <c r="O73" s="188">
        <f>125.04-0.052954*J73</f>
        <v>-378.39036837499998</v>
      </c>
      <c r="P73" s="188">
        <f>280.47+0.98565*J73</f>
        <v>9650.9829468749995</v>
      </c>
      <c r="Q73" s="188">
        <f>23.4393-0.0000004*J73</f>
        <v>23.435497224999999</v>
      </c>
      <c r="R73" s="188">
        <f>-0.000319*SIN(RADIANS(O73))-0.000024*SIN((RADIANS(2*P73)))</f>
        <v>1.1668967270040724E-4</v>
      </c>
      <c r="S73" s="188">
        <f>N73+R73*COS(RADIANS(Q73))</f>
        <v>17.925422532357235</v>
      </c>
      <c r="T73" s="188">
        <f>S73-'Data Entry-V'!$F$9/15</f>
        <v>29.556533643468349</v>
      </c>
      <c r="U73" s="188">
        <f>IF(T73&lt;0,T73+24,IF(T73&gt;24,T73-24,T73))</f>
        <v>5.5565336434683488</v>
      </c>
      <c r="V73" s="188">
        <f>U73-B73</f>
        <v>-2.3350663565316516</v>
      </c>
      <c r="W73" s="188">
        <f>V73*15</f>
        <v>-35.025995347974771</v>
      </c>
      <c r="X73" s="188">
        <f>IF(W73&lt;0,W73+360,W73)</f>
        <v>324.9740046520252</v>
      </c>
      <c r="Y73" s="188">
        <f>-SIN(RADIANS(X73))</f>
        <v>0.57394803020049245</v>
      </c>
      <c r="Z73" s="188">
        <f>TAN(RADIANS(C73))*COS(RADIANS('Data Entry-V'!$F$8))-SIN(RADIANS('Data Entry-V'!$F$8))*COS(RADIANS(X73))</f>
        <v>0.89461980249485351</v>
      </c>
      <c r="AA73" s="188">
        <f>DEGREES(ATAN2(Z73,Y73))</f>
        <v>32.682414391252905</v>
      </c>
      <c r="AB73" s="126">
        <f>IF(AA73&lt;0,AA73+360,AA73)</f>
        <v>32.682414391252905</v>
      </c>
      <c r="AC73" s="126">
        <f>DEGREES(ASIN((SIN(RADIANS('Data Entry-V'!$F$8))*SIN(RADIANS(C73)))+(COS(RADIANS('Data Entry-V'!$F$8))*COS(RADIANS(C73))*COS(RADIANS((U73-B73)*15)))))</f>
        <v>18.374344593863647</v>
      </c>
      <c r="AD73" s="188">
        <f>1/(COS((4*ATAN(1))/2-(AC73*(4*ATAN(1))/180)))</f>
        <v>3.1723460165263093</v>
      </c>
      <c r="AE73" s="188">
        <f>IF(AC73&gt;10,AD73-((AD73-1)*(0.0018161+(AD73-1)*(0.002875+(AD73-1)*0.0008083))),"")</f>
        <v>3.1465471635600579</v>
      </c>
      <c r="AF73" s="87"/>
      <c r="AG73" s="87"/>
      <c r="AH73" s="87"/>
      <c r="AI73" s="87"/>
    </row>
    <row r="74" spans="1:35">
      <c r="A74" s="42" t="s">
        <v>141</v>
      </c>
      <c r="B74" s="187">
        <v>1.2966</v>
      </c>
      <c r="C74" s="187">
        <v>3.6143000000000001</v>
      </c>
      <c r="D74" s="172">
        <v>5.15</v>
      </c>
      <c r="E74" s="172">
        <v>7.0000000000000007E-2</v>
      </c>
      <c r="F74" s="172">
        <v>0.1</v>
      </c>
      <c r="G74" s="188">
        <f>IF($AH$3&gt;0.5,($AH$2+2415019)+((((HOUR($AH$3)*60)+MINUTE($AH$3))/1440+DAY($AH$2))-0.5)-DAY($AH$2),($AH$2+2415019)+((((HOUR($AH$3)*60)+MINUTE($AH$3))/1440+DAY($AH$2))-1.5)-DAY($AH$2)+1)</f>
        <v>2461051.9375</v>
      </c>
      <c r="H74" s="188">
        <f>IF((G74-ROUNDDOWN(G74,0))&lt;0.5,ROUNDDOWN(G74,0)-0.5,ROUNDDOWN(G74,0)+0.5)</f>
        <v>2461051.5</v>
      </c>
      <c r="I74" s="188">
        <f>$AH$3*24</f>
        <v>10.5</v>
      </c>
      <c r="J74" s="188">
        <f>G74-2451545</f>
        <v>9506.9375</v>
      </c>
      <c r="K74" s="188">
        <f>G74-2451545</f>
        <v>9506.9375</v>
      </c>
      <c r="L74" s="188">
        <f>AVERAGE(H74-2451545)/36525</f>
        <v>0.26027378507871324</v>
      </c>
      <c r="M74" s="188">
        <f>6.697374558+(0.065707485828*K74)+(1.0027379093*I74)+(0.0854103*L74)+(0.000025862*L74*L74)</f>
        <v>641.92531546860243</v>
      </c>
      <c r="N74" s="188">
        <f>M74-24*(ROUNDDOWN(M74/24,0))</f>
        <v>17.925315468602435</v>
      </c>
      <c r="O74" s="188">
        <f>125.04-0.052954*J74</f>
        <v>-378.39036837499998</v>
      </c>
      <c r="P74" s="188">
        <f>280.47+0.98565*J74</f>
        <v>9650.9829468749995</v>
      </c>
      <c r="Q74" s="188">
        <f>23.4393-0.0000004*J74</f>
        <v>23.435497224999999</v>
      </c>
      <c r="R74" s="188">
        <f>-0.000319*SIN(RADIANS(O74))-0.000024*SIN((RADIANS(2*P74)))</f>
        <v>1.1668967270040724E-4</v>
      </c>
      <c r="S74" s="188">
        <f>N74+R74*COS(RADIANS(Q74))</f>
        <v>17.925422532357235</v>
      </c>
      <c r="T74" s="188">
        <f>S74-'Data Entry-V'!$F$9/15</f>
        <v>29.556533643468349</v>
      </c>
      <c r="U74" s="188">
        <f>IF(T74&lt;0,T74+24,IF(T74&gt;24,T74-24,T74))</f>
        <v>5.5565336434683488</v>
      </c>
      <c r="V74" s="188">
        <f>U74-B74</f>
        <v>4.259933643468349</v>
      </c>
      <c r="W74" s="188">
        <f>V74*15</f>
        <v>63.899004652025233</v>
      </c>
      <c r="X74" s="188">
        <f>IF(W74&lt;0,W74+360,W74)</f>
        <v>63.899004652025233</v>
      </c>
      <c r="Y74" s="188">
        <f>-SIN(RADIANS(X74))</f>
        <v>-0.89801993295813598</v>
      </c>
      <c r="Z74" s="188">
        <f>TAN(RADIANS(C74))*COS(RADIANS('Data Entry-V'!$F$8))-SIN(RADIANS('Data Entry-V'!$F$8))*COS(RADIANS(X74))</f>
        <v>0.31430456525750272</v>
      </c>
      <c r="AA74" s="188">
        <f>DEGREES(ATAN2(Z74,Y74))</f>
        <v>-70.71009083677113</v>
      </c>
      <c r="AB74" s="126">
        <f>IF(AA74&lt;0,AA74+360,AA74)</f>
        <v>289.28990916322886</v>
      </c>
      <c r="AC74" s="126">
        <f>DEGREES(ASIN((SIN(RADIANS('Data Entry-V'!$F$8))*SIN(RADIANS(C74)))+(COS(RADIANS('Data Entry-V'!$F$8))*COS(RADIANS(C74))*COS(RADIANS((U74-B74)*15)))))</f>
        <v>18.278746375422681</v>
      </c>
      <c r="AD74" s="188">
        <f>1/(COS((4*ATAN(1))/2-(AC74*(4*ATAN(1))/180)))</f>
        <v>3.1883662987541279</v>
      </c>
      <c r="AE74" s="188">
        <f>IF(AC74&gt;10,AD74-((AD74-1)*(0.0018161+(AD74-1)*(0.002875+(AD74-1)*0.0008083))),"")</f>
        <v>3.1621528238969399</v>
      </c>
      <c r="AF74" s="87"/>
      <c r="AG74" s="87"/>
      <c r="AH74" s="87"/>
      <c r="AI74" s="87"/>
    </row>
    <row r="75" spans="1:35">
      <c r="A75" s="42" t="s">
        <v>142</v>
      </c>
      <c r="B75" s="187">
        <v>11.1943</v>
      </c>
      <c r="C75" s="187">
        <v>-22.825800000000001</v>
      </c>
      <c r="D75" s="172">
        <v>4.4800000000000004</v>
      </c>
      <c r="E75" s="172">
        <v>0.03</v>
      </c>
      <c r="F75" s="172">
        <v>7.0000000000000007E-2</v>
      </c>
      <c r="G75" s="188">
        <f>IF($AH$3&gt;0.5,($AH$2+2415019)+((((HOUR($AH$3)*60)+MINUTE($AH$3))/1440+DAY($AH$2))-0.5)-DAY($AH$2),($AH$2+2415019)+((((HOUR($AH$3)*60)+MINUTE($AH$3))/1440+DAY($AH$2))-1.5)-DAY($AH$2)+1)</f>
        <v>2461051.9375</v>
      </c>
      <c r="H75" s="188">
        <f>IF((G75-ROUNDDOWN(G75,0))&lt;0.5,ROUNDDOWN(G75,0)-0.5,ROUNDDOWN(G75,0)+0.5)</f>
        <v>2461051.5</v>
      </c>
      <c r="I75" s="188">
        <f>$AH$3*24</f>
        <v>10.5</v>
      </c>
      <c r="J75" s="188">
        <f>G75-2451545</f>
        <v>9506.9375</v>
      </c>
      <c r="K75" s="188">
        <f>G75-2451545</f>
        <v>9506.9375</v>
      </c>
      <c r="L75" s="188">
        <f>AVERAGE(H75-2451545)/36525</f>
        <v>0.26027378507871324</v>
      </c>
      <c r="M75" s="188">
        <f>6.697374558+(0.065707485828*K75)+(1.0027379093*I75)+(0.0854103*L75)+(0.000025862*L75*L75)</f>
        <v>641.92531546860243</v>
      </c>
      <c r="N75" s="188">
        <f>M75-24*(ROUNDDOWN(M75/24,0))</f>
        <v>17.925315468602435</v>
      </c>
      <c r="O75" s="188">
        <f>125.04-0.052954*J75</f>
        <v>-378.39036837499998</v>
      </c>
      <c r="P75" s="188">
        <f>280.47+0.98565*J75</f>
        <v>9650.9829468749995</v>
      </c>
      <c r="Q75" s="188">
        <f>23.4393-0.0000004*J75</f>
        <v>23.435497224999999</v>
      </c>
      <c r="R75" s="188">
        <f>-0.000319*SIN(RADIANS(O75))-0.000024*SIN((RADIANS(2*P75)))</f>
        <v>1.1668967270040724E-4</v>
      </c>
      <c r="S75" s="188">
        <f>N75+R75*COS(RADIANS(Q75))</f>
        <v>17.925422532357235</v>
      </c>
      <c r="T75" s="188">
        <f>S75-'Data Entry-V'!$F$9/15</f>
        <v>29.556533643468349</v>
      </c>
      <c r="U75" s="188">
        <f>IF(T75&lt;0,T75+24,IF(T75&gt;24,T75-24,T75))</f>
        <v>5.5565336434683488</v>
      </c>
      <c r="V75" s="188">
        <f>U75-B75</f>
        <v>-5.6377663565316514</v>
      </c>
      <c r="W75" s="188">
        <f>V75*15</f>
        <v>-84.566495347974765</v>
      </c>
      <c r="X75" s="188">
        <f>IF(W75&lt;0,W75+360,W75)</f>
        <v>275.43350465202525</v>
      </c>
      <c r="Y75" s="188">
        <f>-SIN(RADIANS(X75))</f>
        <v>0.99550676300079155</v>
      </c>
      <c r="Z75" s="188">
        <f>TAN(RADIANS(C75))*COS(RADIANS('Data Entry-V'!$F$8))-SIN(RADIANS('Data Entry-V'!$F$8))*COS(RADIANS(X75))</f>
        <v>-0.28010816983486764</v>
      </c>
      <c r="AA75" s="188">
        <f>DEGREES(ATAN2(Z75,Y75))</f>
        <v>105.71513882769572</v>
      </c>
      <c r="AB75" s="126">
        <f>IF(AA75&lt;0,AA75+360,AA75)</f>
        <v>105.71513882769572</v>
      </c>
      <c r="AC75" s="126">
        <f>DEGREES(ASIN((SIN(RADIANS('Data Entry-V'!$F$8))*SIN(RADIANS(C75)))+(COS(RADIANS('Data Entry-V'!$F$8))*COS(RADIANS(C75))*COS(RADIANS((U75-B75)*15)))))</f>
        <v>17.602639146547411</v>
      </c>
      <c r="AD75" s="188">
        <f>1/(COS((4*ATAN(1))/2-(AC75*(4*ATAN(1))/180)))</f>
        <v>3.3067274472317205</v>
      </c>
      <c r="AE75" s="188">
        <f>IF(AC75&gt;10,AD75-((AD75-1)*(0.0018161+(AD75-1)*(0.002875+(AD75-1)*0.0008083))),"")</f>
        <v>3.2773192123254731</v>
      </c>
      <c r="AF75" s="87"/>
      <c r="AG75" s="87"/>
      <c r="AH75" s="87"/>
      <c r="AI75" s="87"/>
    </row>
    <row r="76" spans="1:35">
      <c r="A76" s="42" t="s">
        <v>143</v>
      </c>
      <c r="B76" s="187">
        <v>10.132300000000001</v>
      </c>
      <c r="C76" s="187">
        <v>-0.37169999999999997</v>
      </c>
      <c r="D76" s="172">
        <v>4.49</v>
      </c>
      <c r="E76" s="172">
        <v>-0.04</v>
      </c>
      <c r="F76" s="172">
        <v>-7.0000000000000007E-2</v>
      </c>
      <c r="G76" s="188">
        <f>IF($AH$3&gt;0.5,($AH$2+2415019)+((((HOUR($AH$3)*60)+MINUTE($AH$3))/1440+DAY($AH$2))-0.5)-DAY($AH$2),($AH$2+2415019)+((((HOUR($AH$3)*60)+MINUTE($AH$3))/1440+DAY($AH$2))-1.5)-DAY($AH$2)+1)</f>
        <v>2461051.9375</v>
      </c>
      <c r="H76" s="188">
        <f>IF((G76-ROUNDDOWN(G76,0))&lt;0.5,ROUNDDOWN(G76,0)-0.5,ROUNDDOWN(G76,0)+0.5)</f>
        <v>2461051.5</v>
      </c>
      <c r="I76" s="188">
        <f>$AH$3*24</f>
        <v>10.5</v>
      </c>
      <c r="J76" s="188">
        <f>G76-2451545</f>
        <v>9506.9375</v>
      </c>
      <c r="K76" s="188">
        <f>G76-2451545</f>
        <v>9506.9375</v>
      </c>
      <c r="L76" s="188">
        <f>AVERAGE(H76-2451545)/36525</f>
        <v>0.26027378507871324</v>
      </c>
      <c r="M76" s="188">
        <f>6.697374558+(0.065707485828*K76)+(1.0027379093*I76)+(0.0854103*L76)+(0.000025862*L76*L76)</f>
        <v>641.92531546860243</v>
      </c>
      <c r="N76" s="188">
        <f>M76-24*(ROUNDDOWN(M76/24,0))</f>
        <v>17.925315468602435</v>
      </c>
      <c r="O76" s="188">
        <f>125.04-0.052954*J76</f>
        <v>-378.39036837499998</v>
      </c>
      <c r="P76" s="188">
        <f>280.47+0.98565*J76</f>
        <v>9650.9829468749995</v>
      </c>
      <c r="Q76" s="188">
        <f>23.4393-0.0000004*J76</f>
        <v>23.435497224999999</v>
      </c>
      <c r="R76" s="188">
        <f>-0.000319*SIN(RADIANS(O76))-0.000024*SIN((RADIANS(2*P76)))</f>
        <v>1.1668967270040724E-4</v>
      </c>
      <c r="S76" s="188">
        <f>N76+R76*COS(RADIANS(Q76))</f>
        <v>17.925422532357235</v>
      </c>
      <c r="T76" s="188">
        <f>S76-'Data Entry-V'!$F$9/15</f>
        <v>29.556533643468349</v>
      </c>
      <c r="U76" s="188">
        <f>IF(T76&lt;0,T76+24,IF(T76&gt;24,T76-24,T76))</f>
        <v>5.5565336434683488</v>
      </c>
      <c r="V76" s="188">
        <f>U76-B76</f>
        <v>-4.575766356531652</v>
      </c>
      <c r="W76" s="188">
        <f>V76*15</f>
        <v>-68.636495347974773</v>
      </c>
      <c r="X76" s="188">
        <f>IF(W76&lt;0,W76+360,W76)</f>
        <v>291.3635046520252</v>
      </c>
      <c r="Y76" s="188">
        <f>-SIN(RADIANS(X76))</f>
        <v>0.93128804034154056</v>
      </c>
      <c r="Z76" s="188">
        <f>TAN(RADIANS(C76))*COS(RADIANS('Data Entry-V'!$F$8))-SIN(RADIANS('Data Entry-V'!$F$8))*COS(RADIANS(X76))</f>
        <v>0.21319170619553551</v>
      </c>
      <c r="AA76" s="188">
        <f>DEGREES(ATAN2(Z76,Y76))</f>
        <v>77.105946860087528</v>
      </c>
      <c r="AB76" s="126">
        <f>IF(AA76&lt;0,AA76+360,AA76)</f>
        <v>77.105946860087528</v>
      </c>
      <c r="AC76" s="126">
        <f>DEGREES(ASIN((SIN(RADIANS('Data Entry-V'!$F$8))*SIN(RADIANS(C76)))+(COS(RADIANS('Data Entry-V'!$F$8))*COS(RADIANS(C76))*COS(RADIANS((U76-B76)*15)))))</f>
        <v>17.184482028234157</v>
      </c>
      <c r="AD76" s="188">
        <f>1/(COS((4*ATAN(1))/2-(AC76*(4*ATAN(1))/180)))</f>
        <v>3.3846753393425018</v>
      </c>
      <c r="AE76" s="188">
        <f>IF(AC76&gt;10,AD76-((AD76-1)*(0.0018161+(AD76-1)*(0.002875+(AD76-1)*0.0008083))),"")</f>
        <v>3.3530340785950021</v>
      </c>
      <c r="AF76" s="87"/>
      <c r="AG76" s="87"/>
      <c r="AH76" s="87"/>
      <c r="AI76" s="87"/>
    </row>
    <row r="77" spans="1:35">
      <c r="A77" s="42" t="s">
        <v>144</v>
      </c>
      <c r="B77" s="187">
        <v>8.7213999999999992</v>
      </c>
      <c r="C77" s="187">
        <v>21.468499999999999</v>
      </c>
      <c r="D77" s="172">
        <v>4.66</v>
      </c>
      <c r="E77" s="172">
        <v>0.02</v>
      </c>
      <c r="F77" s="172">
        <v>0.01</v>
      </c>
      <c r="G77" s="188">
        <f>IF($AH$3&gt;0.5,($AH$2+2415019)+((((HOUR($AH$3)*60)+MINUTE($AH$3))/1440+DAY($AH$2))-0.5)-DAY($AH$2),($AH$2+2415019)+((((HOUR($AH$3)*60)+MINUTE($AH$3))/1440+DAY($AH$2))-1.5)-DAY($AH$2)+1)</f>
        <v>2461051.9375</v>
      </c>
      <c r="H77" s="188">
        <f>IF((G77-ROUNDDOWN(G77,0))&lt;0.5,ROUNDDOWN(G77,0)-0.5,ROUNDDOWN(G77,0)+0.5)</f>
        <v>2461051.5</v>
      </c>
      <c r="I77" s="188">
        <f>$AH$3*24</f>
        <v>10.5</v>
      </c>
      <c r="J77" s="188">
        <f>G77-2451545</f>
        <v>9506.9375</v>
      </c>
      <c r="K77" s="188">
        <f>G77-2451545</f>
        <v>9506.9375</v>
      </c>
      <c r="L77" s="188">
        <f>AVERAGE(H77-2451545)/36525</f>
        <v>0.26027378507871324</v>
      </c>
      <c r="M77" s="188">
        <f>6.697374558+(0.065707485828*K77)+(1.0027379093*I77)+(0.0854103*L77)+(0.000025862*L77*L77)</f>
        <v>641.92531546860243</v>
      </c>
      <c r="N77" s="188">
        <f>M77-24*(ROUNDDOWN(M77/24,0))</f>
        <v>17.925315468602435</v>
      </c>
      <c r="O77" s="188">
        <f>125.04-0.052954*J77</f>
        <v>-378.39036837499998</v>
      </c>
      <c r="P77" s="188">
        <f>280.47+0.98565*J77</f>
        <v>9650.9829468749995</v>
      </c>
      <c r="Q77" s="188">
        <f>23.4393-0.0000004*J77</f>
        <v>23.435497224999999</v>
      </c>
      <c r="R77" s="188">
        <f>-0.000319*SIN(RADIANS(O77))-0.000024*SIN((RADIANS(2*P77)))</f>
        <v>1.1668967270040724E-4</v>
      </c>
      <c r="S77" s="188">
        <f>N77+R77*COS(RADIANS(Q77))</f>
        <v>17.925422532357235</v>
      </c>
      <c r="T77" s="188">
        <f>S77-'Data Entry-V'!$F$9/15</f>
        <v>29.556533643468349</v>
      </c>
      <c r="U77" s="188">
        <f>IF(T77&lt;0,T77+24,IF(T77&gt;24,T77-24,T77))</f>
        <v>5.5565336434683488</v>
      </c>
      <c r="V77" s="188">
        <f>U77-B77</f>
        <v>-3.1648663565316504</v>
      </c>
      <c r="W77" s="188">
        <f>V77*15</f>
        <v>-47.472995347974759</v>
      </c>
      <c r="X77" s="188">
        <f>IF(W77&lt;0,W77+360,W77)</f>
        <v>312.52700465202525</v>
      </c>
      <c r="Y77" s="188">
        <f>-SIN(RADIANS(X77))</f>
        <v>0.73695883569328724</v>
      </c>
      <c r="Z77" s="188">
        <f>TAN(RADIANS(C77))*COS(RADIANS('Data Entry-V'!$F$8))-SIN(RADIANS('Data Entry-V'!$F$8))*COS(RADIANS(X77))</f>
        <v>0.71998834742700402</v>
      </c>
      <c r="AA77" s="188">
        <f>DEGREES(ATAN2(Z77,Y77))</f>
        <v>45.667349780896025</v>
      </c>
      <c r="AB77" s="126">
        <f>IF(AA77&lt;0,AA77+360,AA77)</f>
        <v>45.667349780896025</v>
      </c>
      <c r="AC77" s="126">
        <f>DEGREES(ASIN((SIN(RADIANS('Data Entry-V'!$F$8))*SIN(RADIANS(C77)))+(COS(RADIANS('Data Entry-V'!$F$8))*COS(RADIANS(C77))*COS(RADIANS((U77-B77)*15)))))</f>
        <v>16.503035362074531</v>
      </c>
      <c r="AD77" s="188">
        <f>1/(COS((4*ATAN(1))/2-(AC77*(4*ATAN(1))/180)))</f>
        <v>3.5203069287021451</v>
      </c>
      <c r="AE77" s="188">
        <f>IF(AC77&gt;10,AD77-((AD77-1)*(0.0018161+(AD77-1)*(0.002875+(AD77-1)*0.0008083))),"")</f>
        <v>3.484527993257946</v>
      </c>
      <c r="AF77" s="87"/>
      <c r="AG77" s="87"/>
      <c r="AH77" s="87"/>
      <c r="AI77" s="87"/>
    </row>
    <row r="78" spans="1:35">
      <c r="A78" s="42" t="s">
        <v>145</v>
      </c>
      <c r="B78" s="187">
        <v>6.2300000000000001E-2</v>
      </c>
      <c r="C78" s="187">
        <v>-17.335999999999999</v>
      </c>
      <c r="D78" s="172">
        <v>4.5599999999999996</v>
      </c>
      <c r="E78" s="172">
        <v>-0.04</v>
      </c>
      <c r="F78" s="172">
        <v>-0.12</v>
      </c>
      <c r="G78" s="188">
        <f>IF($AH$3&gt;0.5,($AH$2+2415019)+((((HOUR($AH$3)*60)+MINUTE($AH$3))/1440+DAY($AH$2))-0.5)-DAY($AH$2),($AH$2+2415019)+((((HOUR($AH$3)*60)+MINUTE($AH$3))/1440+DAY($AH$2))-1.5)-DAY($AH$2)+1)</f>
        <v>2461051.9375</v>
      </c>
      <c r="H78" s="188">
        <f>IF((G78-ROUNDDOWN(G78,0))&lt;0.5,ROUNDDOWN(G78,0)-0.5,ROUNDDOWN(G78,0)+0.5)</f>
        <v>2461051.5</v>
      </c>
      <c r="I78" s="188">
        <f>$AH$3*24</f>
        <v>10.5</v>
      </c>
      <c r="J78" s="188">
        <f>G78-2451545</f>
        <v>9506.9375</v>
      </c>
      <c r="K78" s="188">
        <f>G78-2451545</f>
        <v>9506.9375</v>
      </c>
      <c r="L78" s="188">
        <f>AVERAGE(H78-2451545)/36525</f>
        <v>0.26027378507871324</v>
      </c>
      <c r="M78" s="188">
        <f>6.697374558+(0.065707485828*K78)+(1.0027379093*I78)+(0.0854103*L78)+(0.000025862*L78*L78)</f>
        <v>641.92531546860243</v>
      </c>
      <c r="N78" s="188">
        <f>M78-24*(ROUNDDOWN(M78/24,0))</f>
        <v>17.925315468602435</v>
      </c>
      <c r="O78" s="188">
        <f>125.04-0.052954*J78</f>
        <v>-378.39036837499998</v>
      </c>
      <c r="P78" s="188">
        <f>280.47+0.98565*J78</f>
        <v>9650.9829468749995</v>
      </c>
      <c r="Q78" s="188">
        <f>23.4393-0.0000004*J78</f>
        <v>23.435497224999999</v>
      </c>
      <c r="R78" s="188">
        <f>-0.000319*SIN(RADIANS(O78))-0.000024*SIN((RADIANS(2*P78)))</f>
        <v>1.1668967270040724E-4</v>
      </c>
      <c r="S78" s="188">
        <f>N78+R78*COS(RADIANS(Q78))</f>
        <v>17.925422532357235</v>
      </c>
      <c r="T78" s="188">
        <f>S78-'Data Entry-V'!$F$9/15</f>
        <v>29.556533643468349</v>
      </c>
      <c r="U78" s="188">
        <f>IF(T78&lt;0,T78+24,IF(T78&gt;24,T78-24,T78))</f>
        <v>5.5565336434683488</v>
      </c>
      <c r="V78" s="188">
        <f>U78-B78</f>
        <v>5.4942336434683492</v>
      </c>
      <c r="W78" s="188">
        <f>V78*15</f>
        <v>82.413504652025239</v>
      </c>
      <c r="X78" s="188">
        <f>IF(W78&lt;0,W78+360,W78)</f>
        <v>82.413504652025239</v>
      </c>
      <c r="Y78" s="188">
        <f>-SIN(RADIANS(X78))</f>
        <v>-0.99124668563398177</v>
      </c>
      <c r="Z78" s="188">
        <f>TAN(RADIANS(C78))*COS(RADIANS('Data Entry-V'!$F$8))-SIN(RADIANS('Data Entry-V'!$F$8))*COS(RADIANS(X78))</f>
        <v>-0.17069701620740108</v>
      </c>
      <c r="AA78" s="188">
        <f>DEGREES(ATAN2(Z78,Y78))</f>
        <v>-99.770754248109426</v>
      </c>
      <c r="AB78" s="126">
        <f>IF(AA78&lt;0,AA78+360,AA78)</f>
        <v>260.22924575189057</v>
      </c>
      <c r="AC78" s="126">
        <f>DEGREES(ASIN((SIN(RADIANS('Data Entry-V'!$F$8))*SIN(RADIANS(C78)))+(COS(RADIANS('Data Entry-V'!$F$8))*COS(RADIANS(C78))*COS(RADIANS((U78-B78)*15)))))</f>
        <v>16.23044092842331</v>
      </c>
      <c r="AD78" s="188">
        <f>1/(COS((4*ATAN(1))/2-(AC78*(4*ATAN(1))/180)))</f>
        <v>3.5778013342463164</v>
      </c>
      <c r="AE78" s="188">
        <f>IF(AC78&gt;10,AD78-((AD78-1)*(0.0018161+(AD78-1)*(0.002875+(AD78-1)*0.0008083))),"")</f>
        <v>3.5401693514604009</v>
      </c>
      <c r="AF78" s="87"/>
      <c r="AG78" s="87"/>
      <c r="AH78" s="87"/>
      <c r="AI78" s="87"/>
    </row>
    <row r="79" spans="1:35">
      <c r="A79" s="42" t="s">
        <v>146</v>
      </c>
      <c r="B79" s="187">
        <v>10.478899999999999</v>
      </c>
      <c r="C79" s="187">
        <v>-3.7423999999999999</v>
      </c>
      <c r="D79" s="172">
        <v>6.04</v>
      </c>
      <c r="E79" s="172">
        <v>0.04</v>
      </c>
      <c r="F79" s="172">
        <v>0.05</v>
      </c>
      <c r="G79" s="188">
        <f>IF($AH$3&gt;0.5,($AH$2+2415019)+((((HOUR($AH$3)*60)+MINUTE($AH$3))/1440+DAY($AH$2))-0.5)-DAY($AH$2),($AH$2+2415019)+((((HOUR($AH$3)*60)+MINUTE($AH$3))/1440+DAY($AH$2))-1.5)-DAY($AH$2)+1)</f>
        <v>2461051.9375</v>
      </c>
      <c r="H79" s="188">
        <f>IF((G79-ROUNDDOWN(G79,0))&lt;0.5,ROUNDDOWN(G79,0)-0.5,ROUNDDOWN(G79,0)+0.5)</f>
        <v>2461051.5</v>
      </c>
      <c r="I79" s="188">
        <f>$AH$3*24</f>
        <v>10.5</v>
      </c>
      <c r="J79" s="188">
        <f>G79-2451545</f>
        <v>9506.9375</v>
      </c>
      <c r="K79" s="188">
        <f>G79-2451545</f>
        <v>9506.9375</v>
      </c>
      <c r="L79" s="188">
        <f>AVERAGE(H79-2451545)/36525</f>
        <v>0.26027378507871324</v>
      </c>
      <c r="M79" s="188">
        <f>6.697374558+(0.065707485828*K79)+(1.0027379093*I79)+(0.0854103*L79)+(0.000025862*L79*L79)</f>
        <v>641.92531546860243</v>
      </c>
      <c r="N79" s="188">
        <f>M79-24*(ROUNDDOWN(M79/24,0))</f>
        <v>17.925315468602435</v>
      </c>
      <c r="O79" s="188">
        <f>125.04-0.052954*J79</f>
        <v>-378.39036837499998</v>
      </c>
      <c r="P79" s="188">
        <f>280.47+0.98565*J79</f>
        <v>9650.9829468749995</v>
      </c>
      <c r="Q79" s="188">
        <f>23.4393-0.0000004*J79</f>
        <v>23.435497224999999</v>
      </c>
      <c r="R79" s="188">
        <f>-0.000319*SIN(RADIANS(O79))-0.000024*SIN((RADIANS(2*P79)))</f>
        <v>1.1668967270040724E-4</v>
      </c>
      <c r="S79" s="188">
        <f>N79+R79*COS(RADIANS(Q79))</f>
        <v>17.925422532357235</v>
      </c>
      <c r="T79" s="188">
        <f>S79-'Data Entry-V'!$F$9/15</f>
        <v>29.556533643468349</v>
      </c>
      <c r="U79" s="188">
        <f>IF(T79&lt;0,T79+24,IF(T79&gt;24,T79-24,T79))</f>
        <v>5.5565336434683488</v>
      </c>
      <c r="V79" s="188">
        <f>U79-B79</f>
        <v>-4.9223663565316507</v>
      </c>
      <c r="W79" s="188">
        <f>V79*15</f>
        <v>-73.835495347974756</v>
      </c>
      <c r="X79" s="188">
        <f>IF(W79&lt;0,W79+360,W79)</f>
        <v>286.16450465202524</v>
      </c>
      <c r="Y79" s="188">
        <f>-SIN(RADIANS(X79))</f>
        <v>0.96046633936162662</v>
      </c>
      <c r="Z79" s="188">
        <f>TAN(RADIANS(C79))*COS(RADIANS('Data Entry-V'!$F$8))-SIN(RADIANS('Data Entry-V'!$F$8))*COS(RADIANS(X79))</f>
        <v>0.11454228521366501</v>
      </c>
      <c r="AA79" s="188">
        <f>DEGREES(ATAN2(Z79,Y79))</f>
        <v>83.199199599350223</v>
      </c>
      <c r="AB79" s="126">
        <f>IF(AA79&lt;0,AA79+360,AA79)</f>
        <v>83.199199599350223</v>
      </c>
      <c r="AC79" s="126">
        <f>DEGREES(ASIN((SIN(RADIANS('Data Entry-V'!$F$8))*SIN(RADIANS(C79)))+(COS(RADIANS('Data Entry-V'!$F$8))*COS(RADIANS(C79))*COS(RADIANS((U79-B79)*15)))))</f>
        <v>15.157746491028536</v>
      </c>
      <c r="AD79" s="188">
        <f>1/(COS((4*ATAN(1))/2-(AC79*(4*ATAN(1))/180)))</f>
        <v>3.8244216642879287</v>
      </c>
      <c r="AE79" s="188">
        <f>IF(AC79&gt;10,AD79-((AD79-1)*(0.0018161+(AD79-1)*(0.002875+(AD79-1)*0.0008083))),"")</f>
        <v>3.7781451801902746</v>
      </c>
      <c r="AF79" s="87"/>
      <c r="AG79" s="87"/>
      <c r="AH79" s="87"/>
      <c r="AI79" s="87"/>
    </row>
    <row r="80" spans="1:35">
      <c r="A80" s="42" t="s">
        <v>147</v>
      </c>
      <c r="B80" s="187">
        <v>23.712</v>
      </c>
      <c r="C80" s="187">
        <v>-14.5449</v>
      </c>
      <c r="D80" s="172">
        <v>4.51</v>
      </c>
      <c r="E80" s="172">
        <v>-0.04</v>
      </c>
      <c r="F80" s="172">
        <v>-0.13</v>
      </c>
      <c r="G80" s="188">
        <f>IF($AH$3&gt;0.5,($AH$2+2415019)+((((HOUR($AH$3)*60)+MINUTE($AH$3))/1440+DAY($AH$2))-0.5)-DAY($AH$2),($AH$2+2415019)+((((HOUR($AH$3)*60)+MINUTE($AH$3))/1440+DAY($AH$2))-1.5)-DAY($AH$2)+1)</f>
        <v>2461051.9375</v>
      </c>
      <c r="H80" s="188">
        <f>IF((G80-ROUNDDOWN(G80,0))&lt;0.5,ROUNDDOWN(G80,0)-0.5,ROUNDDOWN(G80,0)+0.5)</f>
        <v>2461051.5</v>
      </c>
      <c r="I80" s="188">
        <f>$AH$3*24</f>
        <v>10.5</v>
      </c>
      <c r="J80" s="188">
        <f>G80-2451545</f>
        <v>9506.9375</v>
      </c>
      <c r="K80" s="188">
        <f>G80-2451545</f>
        <v>9506.9375</v>
      </c>
      <c r="L80" s="188">
        <f>AVERAGE(H80-2451545)/36525</f>
        <v>0.26027378507871324</v>
      </c>
      <c r="M80" s="188">
        <f>6.697374558+(0.065707485828*K80)+(1.0027379093*I80)+(0.0854103*L80)+(0.000025862*L80*L80)</f>
        <v>641.92531546860243</v>
      </c>
      <c r="N80" s="188">
        <f>M80-24*(ROUNDDOWN(M80/24,0))</f>
        <v>17.925315468602435</v>
      </c>
      <c r="O80" s="188">
        <f>125.04-0.052954*J80</f>
        <v>-378.39036837499998</v>
      </c>
      <c r="P80" s="188">
        <f>280.47+0.98565*J80</f>
        <v>9650.9829468749995</v>
      </c>
      <c r="Q80" s="188">
        <f>23.4393-0.0000004*J80</f>
        <v>23.435497224999999</v>
      </c>
      <c r="R80" s="188">
        <f>-0.000319*SIN(RADIANS(O80))-0.000024*SIN((RADIANS(2*P80)))</f>
        <v>1.1668967270040724E-4</v>
      </c>
      <c r="S80" s="188">
        <f>N80+R80*COS(RADIANS(Q80))</f>
        <v>17.925422532357235</v>
      </c>
      <c r="T80" s="188">
        <f>S80-'Data Entry-V'!$F$9/15</f>
        <v>29.556533643468349</v>
      </c>
      <c r="U80" s="188">
        <f>IF(T80&lt;0,T80+24,IF(T80&gt;24,T80-24,T80))</f>
        <v>5.5565336434683488</v>
      </c>
      <c r="V80" s="188">
        <f>U80-B80</f>
        <v>-18.155466356531651</v>
      </c>
      <c r="W80" s="188">
        <f>V80*15</f>
        <v>-272.33199534797478</v>
      </c>
      <c r="X80" s="188">
        <f>IF(W80&lt;0,W80+360,W80)</f>
        <v>87.668004652025218</v>
      </c>
      <c r="Y80" s="188">
        <f>-SIN(RADIANS(X80))</f>
        <v>-0.99917182875961374</v>
      </c>
      <c r="Z80" s="188">
        <f>TAN(RADIANS(C80))*COS(RADIANS('Data Entry-V'!$F$8))-SIN(RADIANS('Data Entry-V'!$F$8))*COS(RADIANS(X80))</f>
        <v>-0.18326928084789265</v>
      </c>
      <c r="AA80" s="188">
        <f>DEGREES(ATAN2(Z80,Y80))</f>
        <v>-100.39372758817211</v>
      </c>
      <c r="AB80" s="126">
        <f>IF(AA80&lt;0,AA80+360,AA80)</f>
        <v>259.60627241182789</v>
      </c>
      <c r="AC80" s="126">
        <f>DEGREES(ASIN((SIN(RADIANS('Data Entry-V'!$F$8))*SIN(RADIANS(C80)))+(COS(RADIANS('Data Entry-V'!$F$8))*COS(RADIANS(C80))*COS(RADIANS((U80-B80)*15)))))</f>
        <v>10.490853511368707</v>
      </c>
      <c r="AD80" s="188">
        <f>1/(COS((4*ATAN(1))/2-(AC80*(4*ATAN(1))/180)))</f>
        <v>5.4921348249350714</v>
      </c>
      <c r="AE80" s="188">
        <f>IF(AC80&gt;10,AD80-((AD80-1)*(0.0018161+(AD80-1)*(0.002875+(AD80-1)*0.0008083))),"")</f>
        <v>5.3526904436232332</v>
      </c>
      <c r="AF80" s="87"/>
      <c r="AG80" s="87"/>
      <c r="AH80" s="87"/>
      <c r="AI80" s="87"/>
    </row>
    <row r="81" spans="1:35">
      <c r="A81" s="42" t="s">
        <v>148</v>
      </c>
      <c r="B81" s="187">
        <v>23.884699999999999</v>
      </c>
      <c r="C81" s="187">
        <v>2.0905999999999998</v>
      </c>
      <c r="D81" s="172">
        <v>6.28</v>
      </c>
      <c r="E81" s="172">
        <v>0</v>
      </c>
      <c r="F81" s="172">
        <v>-0.01</v>
      </c>
      <c r="G81" s="188">
        <f>IF($AH$3&gt;0.5,($AH$2+2415019)+((((HOUR($AH$3)*60)+MINUTE($AH$3))/1440+DAY($AH$2))-0.5)-DAY($AH$2),($AH$2+2415019)+((((HOUR($AH$3)*60)+MINUTE($AH$3))/1440+DAY($AH$2))-1.5)-DAY($AH$2)+1)</f>
        <v>2461051.9375</v>
      </c>
      <c r="H81" s="188">
        <f>IF((G81-ROUNDDOWN(G81,0))&lt;0.5,ROUNDDOWN(G81,0)-0.5,ROUNDDOWN(G81,0)+0.5)</f>
        <v>2461051.5</v>
      </c>
      <c r="I81" s="188">
        <f>$AH$3*24</f>
        <v>10.5</v>
      </c>
      <c r="J81" s="188">
        <f>G81-2451545</f>
        <v>9506.9375</v>
      </c>
      <c r="K81" s="188">
        <f>G81-2451545</f>
        <v>9506.9375</v>
      </c>
      <c r="L81" s="188">
        <f>AVERAGE(H81-2451545)/36525</f>
        <v>0.26027378507871324</v>
      </c>
      <c r="M81" s="188">
        <f>6.697374558+(0.065707485828*K81)+(1.0027379093*I81)+(0.0854103*L81)+(0.000025862*L81*L81)</f>
        <v>641.92531546860243</v>
      </c>
      <c r="N81" s="188">
        <f>M81-24*(ROUNDDOWN(M81/24,0))</f>
        <v>17.925315468602435</v>
      </c>
      <c r="O81" s="188">
        <f>125.04-0.052954*J81</f>
        <v>-378.39036837499998</v>
      </c>
      <c r="P81" s="188">
        <f>280.47+0.98565*J81</f>
        <v>9650.9829468749995</v>
      </c>
      <c r="Q81" s="188">
        <f>23.4393-0.0000004*J81</f>
        <v>23.435497224999999</v>
      </c>
      <c r="R81" s="188">
        <f>-0.000319*SIN(RADIANS(O81))-0.000024*SIN((RADIANS(2*P81)))</f>
        <v>1.1668967270040724E-4</v>
      </c>
      <c r="S81" s="188">
        <f>N81+R81*COS(RADIANS(Q81))</f>
        <v>17.925422532357235</v>
      </c>
      <c r="T81" s="188">
        <f>S81-'Data Entry-V'!$F$9/15</f>
        <v>29.556533643468349</v>
      </c>
      <c r="U81" s="188">
        <f>IF(T81&lt;0,T81+24,IF(T81&gt;24,T81-24,T81))</f>
        <v>5.5565336434683488</v>
      </c>
      <c r="V81" s="188">
        <f>U81-B81</f>
        <v>-18.32816635653165</v>
      </c>
      <c r="W81" s="188">
        <f>V81*15</f>
        <v>-274.92249534797475</v>
      </c>
      <c r="X81" s="188">
        <f>IF(W81&lt;0,W81+360,W81)</f>
        <v>85.077504652025254</v>
      </c>
      <c r="Y81" s="188">
        <f>-SIN(RADIANS(X81))</f>
        <v>-0.996311683187042</v>
      </c>
      <c r="Z81" s="188">
        <f>TAN(RADIANS(C81))*COS(RADIANS('Data Entry-V'!$F$8))-SIN(RADIANS('Data Entry-V'!$F$8))*COS(RADIANS(X81))</f>
        <v>8.0658256619653451E-2</v>
      </c>
      <c r="AA81" s="188">
        <f>DEGREES(ATAN2(Z81,Y81))</f>
        <v>-85.371608007289183</v>
      </c>
      <c r="AB81" s="126">
        <f>IF(AA81&lt;0,AA81+360,AA81)</f>
        <v>274.62839199271082</v>
      </c>
      <c r="AC81" s="126">
        <f>DEGREES(ASIN((SIN(RADIANS('Data Entry-V'!$F$8))*SIN(RADIANS(C81)))+(COS(RADIANS('Data Entry-V'!$F$8))*COS(RADIANS(C81))*COS(RADIANS((U81-B81)*15)))))</f>
        <v>2.6803792982760637</v>
      </c>
      <c r="AD81" s="188">
        <f>1/(COS((4*ATAN(1))/2-(AC81*(4*ATAN(1))/180)))</f>
        <v>21.383795777010754</v>
      </c>
      <c r="AE81" s="188" t="str">
        <f>IF(AC81&gt;10,AD81-((AD81-1)*(0.0018161+(AD81-1)*(0.002875+(AD81-1)*0.0008083))),"")</f>
        <v/>
      </c>
      <c r="AF81" s="87"/>
      <c r="AG81" s="95"/>
      <c r="AH81" s="87"/>
      <c r="AI81" s="87"/>
    </row>
    <row r="82" spans="1:35">
      <c r="A82" s="42" t="s">
        <v>149</v>
      </c>
      <c r="B82" s="187">
        <v>22.139700000000001</v>
      </c>
      <c r="C82" s="187">
        <v>-32.988500000000002</v>
      </c>
      <c r="D82" s="172">
        <v>4.5</v>
      </c>
      <c r="E82" s="172">
        <v>0.05</v>
      </c>
      <c r="F82" s="172">
        <v>0.05</v>
      </c>
      <c r="G82" s="188">
        <f>IF($AH$3&gt;0.5,($AH$2+2415019)+((((HOUR($AH$3)*60)+MINUTE($AH$3))/1440+DAY($AH$2))-0.5)-DAY($AH$2),($AH$2+2415019)+((((HOUR($AH$3)*60)+MINUTE($AH$3))/1440+DAY($AH$2))-1.5)-DAY($AH$2)+1)</f>
        <v>2461051.9375</v>
      </c>
      <c r="H82" s="188">
        <f>IF((G82-ROUNDDOWN(G82,0))&lt;0.5,ROUNDDOWN(G82,0)-0.5,ROUNDDOWN(G82,0)+0.5)</f>
        <v>2461051.5</v>
      </c>
      <c r="I82" s="188">
        <f>$AH$3*24</f>
        <v>10.5</v>
      </c>
      <c r="J82" s="188">
        <f>G82-2451545</f>
        <v>9506.9375</v>
      </c>
      <c r="K82" s="188">
        <f>G82-2451545</f>
        <v>9506.9375</v>
      </c>
      <c r="L82" s="188">
        <f>AVERAGE(H82-2451545)/36525</f>
        <v>0.26027378507871324</v>
      </c>
      <c r="M82" s="188">
        <f>6.697374558+(0.065707485828*K82)+(1.0027379093*I82)+(0.0854103*L82)+(0.000025862*L82*L82)</f>
        <v>641.92531546860243</v>
      </c>
      <c r="N82" s="188">
        <f>M82-24*(ROUNDDOWN(M82/24,0))</f>
        <v>17.925315468602435</v>
      </c>
      <c r="O82" s="188">
        <f>125.04-0.052954*J82</f>
        <v>-378.39036837499998</v>
      </c>
      <c r="P82" s="188">
        <f>280.47+0.98565*J82</f>
        <v>9650.9829468749995</v>
      </c>
      <c r="Q82" s="188">
        <f>23.4393-0.0000004*J82</f>
        <v>23.435497224999999</v>
      </c>
      <c r="R82" s="188">
        <f>-0.000319*SIN(RADIANS(O82))-0.000024*SIN((RADIANS(2*P82)))</f>
        <v>1.1668967270040724E-4</v>
      </c>
      <c r="S82" s="188">
        <f>N82+R82*COS(RADIANS(Q82))</f>
        <v>17.925422532357235</v>
      </c>
      <c r="T82" s="188">
        <f>S82-'Data Entry-V'!$F$9/15</f>
        <v>29.556533643468349</v>
      </c>
      <c r="U82" s="188">
        <f>IF(T82&lt;0,T82+24,IF(T82&gt;24,T82-24,T82))</f>
        <v>5.5565336434683488</v>
      </c>
      <c r="V82" s="188">
        <f>U82-B82</f>
        <v>-16.583166356531652</v>
      </c>
      <c r="W82" s="188">
        <f>V82*15</f>
        <v>-248.74749534797479</v>
      </c>
      <c r="X82" s="188">
        <f>IF(W82&lt;0,W82+360,W82)</f>
        <v>111.25250465202521</v>
      </c>
      <c r="Y82" s="188">
        <f>-SIN(RADIANS(X82))</f>
        <v>-0.93199202462204811</v>
      </c>
      <c r="Z82" s="188">
        <f>TAN(RADIANS(C82))*COS(RADIANS('Data Entry-V'!$F$8))-SIN(RADIANS('Data Entry-V'!$F$8))*COS(RADIANS(X82))</f>
        <v>-0.73684842622590863</v>
      </c>
      <c r="AA82" s="188">
        <f>DEGREES(ATAN2(Z82,Y82))</f>
        <v>-128.33048404334383</v>
      </c>
      <c r="AB82" s="126">
        <f>IF(AA82&lt;0,AA82+360,AA82)</f>
        <v>231.66951595665617</v>
      </c>
      <c r="AC82" s="126">
        <f>DEGREES(ASIN((SIN(RADIANS('Data Entry-V'!$F$8))*SIN(RADIANS(C82)))+(COS(RADIANS('Data Entry-V'!$F$8))*COS(RADIANS(C82))*COS(RADIANS((U82-B82)*15)))))</f>
        <v>4.7642515963226426</v>
      </c>
      <c r="AD82" s="188">
        <f>1/(COS((4*ATAN(1))/2-(AC82*(4*ATAN(1))/180)))</f>
        <v>12.040056602757959</v>
      </c>
      <c r="AE82" s="188" t="str">
        <f>IF(AC82&gt;10,AD82-((AD82-1)*(0.0018161+(AD82-1)*(0.002875+(AD82-1)*0.0008083))),"")</f>
        <v/>
      </c>
      <c r="AF82" s="87"/>
      <c r="AG82" s="87"/>
      <c r="AH82" s="87"/>
      <c r="AI82" s="87"/>
    </row>
    <row r="83" spans="1:35">
      <c r="A83" s="42" t="s">
        <v>150</v>
      </c>
      <c r="B83" s="187">
        <v>23.259499999999999</v>
      </c>
      <c r="C83" s="187">
        <v>-3.4964</v>
      </c>
      <c r="D83" s="172">
        <v>5.55</v>
      </c>
      <c r="E83" s="172">
        <v>0.06</v>
      </c>
      <c r="F83" s="172">
        <v>0.05</v>
      </c>
      <c r="G83" s="188">
        <f>IF($AH$3&gt;0.5,($AH$2+2415019)+((((HOUR($AH$3)*60)+MINUTE($AH$3))/1440+DAY($AH$2))-0.5)-DAY($AH$2),($AH$2+2415019)+((((HOUR($AH$3)*60)+MINUTE($AH$3))/1440+DAY($AH$2))-1.5)-DAY($AH$2)+1)</f>
        <v>2461051.9375</v>
      </c>
      <c r="H83" s="188">
        <f>IF((G83-ROUNDDOWN(G83,0))&lt;0.5,ROUNDDOWN(G83,0)-0.5,ROUNDDOWN(G83,0)+0.5)</f>
        <v>2461051.5</v>
      </c>
      <c r="I83" s="188">
        <f>$AH$3*24</f>
        <v>10.5</v>
      </c>
      <c r="J83" s="188">
        <f>G83-2451545</f>
        <v>9506.9375</v>
      </c>
      <c r="K83" s="188">
        <f>G83-2451545</f>
        <v>9506.9375</v>
      </c>
      <c r="L83" s="188">
        <f>AVERAGE(H83-2451545)/36525</f>
        <v>0.26027378507871324</v>
      </c>
      <c r="M83" s="188">
        <f>6.697374558+(0.065707485828*K83)+(1.0027379093*I83)+(0.0854103*L83)+(0.000025862*L83*L83)</f>
        <v>641.92531546860243</v>
      </c>
      <c r="N83" s="188">
        <f>M83-24*(ROUNDDOWN(M83/24,0))</f>
        <v>17.925315468602435</v>
      </c>
      <c r="O83" s="188">
        <f>125.04-0.052954*J83</f>
        <v>-378.39036837499998</v>
      </c>
      <c r="P83" s="188">
        <f>280.47+0.98565*J83</f>
        <v>9650.9829468749995</v>
      </c>
      <c r="Q83" s="188">
        <f>23.4393-0.0000004*J83</f>
        <v>23.435497224999999</v>
      </c>
      <c r="R83" s="188">
        <f>-0.000319*SIN(RADIANS(O83))-0.000024*SIN((RADIANS(2*P83)))</f>
        <v>1.1668967270040724E-4</v>
      </c>
      <c r="S83" s="188">
        <f>N83+R83*COS(RADIANS(Q83))</f>
        <v>17.925422532357235</v>
      </c>
      <c r="T83" s="188">
        <f>S83-'Data Entry-V'!$F$9/15</f>
        <v>29.556533643468349</v>
      </c>
      <c r="U83" s="188">
        <f>IF(T83&lt;0,T83+24,IF(T83&gt;24,T83-24,T83))</f>
        <v>5.5565336434683488</v>
      </c>
      <c r="V83" s="188">
        <f>U83-B83</f>
        <v>-17.70296635653165</v>
      </c>
      <c r="W83" s="188">
        <f>V83*15</f>
        <v>-265.54449534797476</v>
      </c>
      <c r="X83" s="188">
        <f>IF(W83&lt;0,W83+360,W83)</f>
        <v>94.45550465202524</v>
      </c>
      <c r="Y83" s="188">
        <f>-SIN(RADIANS(X83))</f>
        <v>-0.99697796368489</v>
      </c>
      <c r="Z83" s="188">
        <f>TAN(RADIANS(C83))*COS(RADIANS('Data Entry-V'!$F$8))-SIN(RADIANS('Data Entry-V'!$F$8))*COS(RADIANS(X83))</f>
        <v>-9.5474283102217367E-2</v>
      </c>
      <c r="AA83" s="188">
        <f>DEGREES(ATAN2(Z83,Y83))</f>
        <v>-95.47017390263882</v>
      </c>
      <c r="AB83" s="126">
        <f>IF(AA83&lt;0,AA83+360,AA83)</f>
        <v>264.52982609736119</v>
      </c>
      <c r="AC83" s="126">
        <f>DEGREES(ASIN((SIN(RADIANS('Data Entry-V'!$F$8))*SIN(RADIANS(C83)))+(COS(RADIANS('Data Entry-V'!$F$8))*COS(RADIANS(C83))*COS(RADIANS((U83-B83)*15)))))</f>
        <v>-1.4612893758114802</v>
      </c>
      <c r="AD83" s="188">
        <f>1/(COS((4*ATAN(1))/2-(AC83*(4*ATAN(1))/180)))</f>
        <v>-39.213308782486997</v>
      </c>
      <c r="AE83" s="188" t="str">
        <f>IF(AC83&gt;10,AD83-((AD83-1)*(0.0018161+(AD83-1)*(0.002875+(AD83-1)*0.0008083))),"")</f>
        <v/>
      </c>
      <c r="AF83" s="87"/>
      <c r="AG83" s="87"/>
      <c r="AH83" s="87"/>
      <c r="AI83" s="87"/>
    </row>
    <row r="84" spans="1:35">
      <c r="A84" s="42" t="s">
        <v>151</v>
      </c>
      <c r="B84" s="187">
        <v>22.5108</v>
      </c>
      <c r="C84" s="187">
        <v>-10.677899999999999</v>
      </c>
      <c r="D84" s="172">
        <v>4.82</v>
      </c>
      <c r="E84" s="172">
        <v>-0.06</v>
      </c>
      <c r="F84" s="172">
        <v>-0.12</v>
      </c>
      <c r="G84" s="188">
        <f>IF($AH$3&gt;0.5,($AH$2+2415019)+((((HOUR($AH$3)*60)+MINUTE($AH$3))/1440+DAY($AH$2))-0.5)-DAY($AH$2),($AH$2+2415019)+((((HOUR($AH$3)*60)+MINUTE($AH$3))/1440+DAY($AH$2))-1.5)-DAY($AH$2)+1)</f>
        <v>2461051.9375</v>
      </c>
      <c r="H84" s="188">
        <f>IF((G84-ROUNDDOWN(G84,0))&lt;0.5,ROUNDDOWN(G84,0)-0.5,ROUNDDOWN(G84,0)+0.5)</f>
        <v>2461051.5</v>
      </c>
      <c r="I84" s="188">
        <f>$AH$3*24</f>
        <v>10.5</v>
      </c>
      <c r="J84" s="188">
        <f>G84-2451545</f>
        <v>9506.9375</v>
      </c>
      <c r="K84" s="188">
        <f>G84-2451545</f>
        <v>9506.9375</v>
      </c>
      <c r="L84" s="188">
        <f>AVERAGE(H84-2451545)/36525</f>
        <v>0.26027378507871324</v>
      </c>
      <c r="M84" s="188">
        <f>6.697374558+(0.065707485828*K84)+(1.0027379093*I84)+(0.0854103*L84)+(0.000025862*L84*L84)</f>
        <v>641.92531546860243</v>
      </c>
      <c r="N84" s="188">
        <f>M84-24*(ROUNDDOWN(M84/24,0))</f>
        <v>17.925315468602435</v>
      </c>
      <c r="O84" s="188">
        <f>125.04-0.052954*J84</f>
        <v>-378.39036837499998</v>
      </c>
      <c r="P84" s="188">
        <f>280.47+0.98565*J84</f>
        <v>9650.9829468749995</v>
      </c>
      <c r="Q84" s="188">
        <f>23.4393-0.0000004*J84</f>
        <v>23.435497224999999</v>
      </c>
      <c r="R84" s="188">
        <f>-0.000319*SIN(RADIANS(O84))-0.000024*SIN((RADIANS(2*P84)))</f>
        <v>1.1668967270040724E-4</v>
      </c>
      <c r="S84" s="188">
        <f>N84+R84*COS(RADIANS(Q84))</f>
        <v>17.925422532357235</v>
      </c>
      <c r="T84" s="188">
        <f>S84-'Data Entry-V'!$F$9/15</f>
        <v>29.556533643468349</v>
      </c>
      <c r="U84" s="188">
        <f>IF(T84&lt;0,T84+24,IF(T84&gt;24,T84-24,T84))</f>
        <v>5.5565336434683488</v>
      </c>
      <c r="V84" s="188">
        <f>U84-B84</f>
        <v>-16.954266356531651</v>
      </c>
      <c r="W84" s="188">
        <f>V84*15</f>
        <v>-254.31399534797475</v>
      </c>
      <c r="X84" s="188">
        <f>IF(W84&lt;0,W84+360,W84)</f>
        <v>105.68600465202525</v>
      </c>
      <c r="Y84" s="188">
        <f>-SIN(RADIANS(X84))</f>
        <v>-0.96275781589760567</v>
      </c>
      <c r="Z84" s="188">
        <f>TAN(RADIANS(C84))*COS(RADIANS('Data Entry-V'!$F$8))-SIN(RADIANS('Data Entry-V'!$F$8))*COS(RADIANS(X84))</f>
        <v>-0.31299527543226935</v>
      </c>
      <c r="AA84" s="188">
        <f>DEGREES(ATAN2(Z84,Y84))</f>
        <v>-108.00948949475263</v>
      </c>
      <c r="AB84" s="126">
        <f>IF(AA84&lt;0,AA84+360,AA84)</f>
        <v>251.99051050524736</v>
      </c>
      <c r="AC84" s="126">
        <f>DEGREES(ASIN((SIN(RADIANS('Data Entry-V'!$F$8))*SIN(RADIANS(C84)))+(COS(RADIANS('Data Entry-V'!$F$8))*COS(RADIANS(C84))*COS(RADIANS((U84-B84)*15)))))</f>
        <v>-5.8296276809002521</v>
      </c>
      <c r="AD84" s="188">
        <f>1/(COS((4*ATAN(1))/2-(AC84*(4*ATAN(1))/180)))</f>
        <v>-9.8453553564849479</v>
      </c>
      <c r="AE84" s="188" t="str">
        <f>IF(AC84&gt;10,AD84-((AD84-1)*(0.0018161+(AD84-1)*(0.002875+(AD84-1)*0.0008083))),"")</f>
        <v/>
      </c>
      <c r="AF84" s="87"/>
      <c r="AG84" s="87"/>
      <c r="AH84" s="87"/>
      <c r="AI84" s="87"/>
    </row>
    <row r="85" spans="1:35">
      <c r="A85" s="42" t="s">
        <v>152</v>
      </c>
      <c r="B85" s="187">
        <v>1.3245</v>
      </c>
      <c r="C85" s="187">
        <v>27.263999999999999</v>
      </c>
      <c r="D85" s="172">
        <v>4.76</v>
      </c>
      <c r="E85" s="172">
        <v>0.03</v>
      </c>
      <c r="F85" s="172">
        <v>0.1</v>
      </c>
      <c r="G85" s="188">
        <f>IF($AH$3&gt;0.5,($AH$2+2415019)+((((HOUR($AH$3)*60)+MINUTE($AH$3))/1440+DAY($AH$2))-0.5)-DAY($AH$2),($AH$2+2415019)+((((HOUR($AH$3)*60)+MINUTE($AH$3))/1440+DAY($AH$2))-1.5)-DAY($AH$2)+1)</f>
        <v>2461051.9375</v>
      </c>
      <c r="H85" s="188">
        <f>IF((G85-ROUNDDOWN(G85,0))&lt;0.5,ROUNDDOWN(G85,0)-0.5,ROUNDDOWN(G85,0)+0.5)</f>
        <v>2461051.5</v>
      </c>
      <c r="I85" s="188">
        <f>$AH$3*24</f>
        <v>10.5</v>
      </c>
      <c r="J85" s="188">
        <f>G85-2451545</f>
        <v>9506.9375</v>
      </c>
      <c r="K85" s="188">
        <f>G85-2451545</f>
        <v>9506.9375</v>
      </c>
      <c r="L85" s="188">
        <f>AVERAGE(H85-2451545)/36525</f>
        <v>0.26027378507871324</v>
      </c>
      <c r="M85" s="188">
        <f>6.697374558+(0.065707485828*K85)+(1.0027379093*I85)+(0.0854103*L85)+(0.000025862*L85*L85)</f>
        <v>641.92531546860243</v>
      </c>
      <c r="N85" s="188">
        <f>M85-24*(ROUNDDOWN(M85/24,0))</f>
        <v>17.925315468602435</v>
      </c>
      <c r="O85" s="188">
        <f>125.04-0.052954*J85</f>
        <v>-378.39036837499998</v>
      </c>
      <c r="P85" s="188">
        <f>280.47+0.98565*J85</f>
        <v>9650.9829468749995</v>
      </c>
      <c r="Q85" s="188">
        <f>23.4393-0.0000004*J85</f>
        <v>23.435497224999999</v>
      </c>
      <c r="R85" s="188">
        <f>-0.000319*SIN(RADIANS(O85))-0.000024*SIN((RADIANS(2*P85)))</f>
        <v>1.1668967270040724E-4</v>
      </c>
      <c r="S85" s="188">
        <f>N85+R85*COS(RADIANS(Q85))</f>
        <v>17.925422532357235</v>
      </c>
      <c r="T85" s="188">
        <f>S85-'Data Entry-V'!$F$9/15</f>
        <v>29.556533643468349</v>
      </c>
      <c r="U85" s="188">
        <f>IF(T85&lt;0,T85+24,IF(T85&gt;24,T85-24,T85))</f>
        <v>5.5565336434683488</v>
      </c>
      <c r="V85" s="188">
        <f>U85-B85</f>
        <v>4.2320336434683483</v>
      </c>
      <c r="W85" s="188">
        <f>V85*15</f>
        <v>63.480504652025225</v>
      </c>
      <c r="X85" s="188">
        <f>IF(W85&lt;0,W85+360,W85)</f>
        <v>63.480504652025225</v>
      </c>
      <c r="Y85" s="188">
        <f>-SIN(RADIANS(X85))</f>
        <v>-0.89478248741881905</v>
      </c>
      <c r="Z85" s="188">
        <f>TAN(RADIANS(C85))*COS(RADIANS('Data Entry-V'!$F$8))-SIN(RADIANS('Data Entry-V'!$F$8))*COS(RADIANS(X85))</f>
        <v>0.68014504431341716</v>
      </c>
      <c r="AA85" s="188">
        <f>DEGREES(ATAN2(Z85,Y85))</f>
        <v>-52.760687132057491</v>
      </c>
      <c r="AB85" s="126">
        <f>IF(AA85&lt;0,AA85+360,AA85)</f>
        <v>307.23931286794249</v>
      </c>
      <c r="AC85" s="126">
        <f>DEGREES(ASIN((SIN(RADIANS('Data Entry-V'!$F$8))*SIN(RADIANS(C85)))+(COS(RADIANS('Data Entry-V'!$F$8))*COS(RADIANS(C85))*COS(RADIANS((U85-B85)*15)))))</f>
        <v>2.4673309256152507</v>
      </c>
      <c r="AD85" s="188">
        <f>1/(COS((4*ATAN(1))/2-(AC85*(4*ATAN(1))/180)))</f>
        <v>23.228943963377965</v>
      </c>
      <c r="AE85" s="188" t="str">
        <f>IF(AC85&gt;10,AD85-((AD85-1)*(0.0018161+(AD85-1)*(0.002875+(AD85-1)*0.0008083))),"")</f>
        <v/>
      </c>
      <c r="AF85" s="87"/>
      <c r="AG85" s="87"/>
      <c r="AH85" s="87"/>
      <c r="AI85" s="87"/>
    </row>
    <row r="86" spans="1:35">
      <c r="A86" s="42" t="s">
        <v>153</v>
      </c>
      <c r="B86" s="187">
        <v>22.9785</v>
      </c>
      <c r="C86" s="187">
        <v>7.3400999999999996</v>
      </c>
      <c r="D86" s="172">
        <v>6.33</v>
      </c>
      <c r="E86" s="172">
        <v>0.06</v>
      </c>
      <c r="F86" s="172">
        <v>0.01</v>
      </c>
      <c r="G86" s="188">
        <f>IF($AH$3&gt;0.5,($AH$2+2415019)+((((HOUR($AH$3)*60)+MINUTE($AH$3))/1440+DAY($AH$2))-0.5)-DAY($AH$2),($AH$2+2415019)+((((HOUR($AH$3)*60)+MINUTE($AH$3))/1440+DAY($AH$2))-1.5)-DAY($AH$2)+1)</f>
        <v>2461051.9375</v>
      </c>
      <c r="H86" s="188">
        <f>IF((G86-ROUNDDOWN(G86,0))&lt;0.5,ROUNDDOWN(G86,0)-0.5,ROUNDDOWN(G86,0)+0.5)</f>
        <v>2461051.5</v>
      </c>
      <c r="I86" s="188">
        <f>$AH$3*24</f>
        <v>10.5</v>
      </c>
      <c r="J86" s="188">
        <f>G86-2451545</f>
        <v>9506.9375</v>
      </c>
      <c r="K86" s="188">
        <f>G86-2451545</f>
        <v>9506.9375</v>
      </c>
      <c r="L86" s="188">
        <f>AVERAGE(H86-2451545)/36525</f>
        <v>0.26027378507871324</v>
      </c>
      <c r="M86" s="188">
        <f>6.697374558+(0.065707485828*K86)+(1.0027379093*I86)+(0.0854103*L86)+(0.000025862*L86*L86)</f>
        <v>641.92531546860243</v>
      </c>
      <c r="N86" s="188">
        <f>M86-24*(ROUNDDOWN(M86/24,0))</f>
        <v>17.925315468602435</v>
      </c>
      <c r="O86" s="188">
        <f>125.04-0.052954*J86</f>
        <v>-378.39036837499998</v>
      </c>
      <c r="P86" s="188">
        <f>280.47+0.98565*J86</f>
        <v>9650.9829468749995</v>
      </c>
      <c r="Q86" s="188">
        <f>23.4393-0.0000004*J86</f>
        <v>23.435497224999999</v>
      </c>
      <c r="R86" s="188">
        <f>-0.000319*SIN(RADIANS(O86))-0.000024*SIN((RADIANS(2*P86)))</f>
        <v>1.1668967270040724E-4</v>
      </c>
      <c r="S86" s="188">
        <f>N86+R86*COS(RADIANS(Q86))</f>
        <v>17.925422532357235</v>
      </c>
      <c r="T86" s="188">
        <f>S86-'Data Entry-V'!$F$9/15</f>
        <v>29.556533643468349</v>
      </c>
      <c r="U86" s="188">
        <f>IF(T86&lt;0,T86+24,IF(T86&gt;24,T86-24,T86))</f>
        <v>5.5565336434683488</v>
      </c>
      <c r="V86" s="188">
        <f>U86-B86</f>
        <v>-17.421966356531652</v>
      </c>
      <c r="W86" s="188">
        <f>V86*15</f>
        <v>-261.32949534797478</v>
      </c>
      <c r="X86" s="188">
        <f>IF(W86&lt;0,W86+360,W86)</f>
        <v>98.670504652025215</v>
      </c>
      <c r="Y86" s="188">
        <f>-SIN(RADIANS(X86))</f>
        <v>-0.98857162352427164</v>
      </c>
      <c r="Z86" s="188">
        <f>TAN(RADIANS(C86))*COS(RADIANS('Data Entry-V'!$F$8))-SIN(RADIANS('Data Entry-V'!$F$8))*COS(RADIANS(X86))</f>
        <v>1.2726629509102763E-2</v>
      </c>
      <c r="AA86" s="188">
        <f>DEGREES(ATAN2(Z86,Y86))</f>
        <v>-89.26242888059042</v>
      </c>
      <c r="AB86" s="126">
        <f>IF(AA86&lt;0,AA86+360,AA86)</f>
        <v>270.73757111940961</v>
      </c>
      <c r="AC86" s="126">
        <f>DEGREES(ASIN((SIN(RADIANS('Data Entry-V'!$F$8))*SIN(RADIANS(C86)))+(COS(RADIANS('Data Entry-V'!$F$8))*COS(RADIANS(C86))*COS(RADIANS((U86-B86)*15)))))</f>
        <v>-11.318368058983411</v>
      </c>
      <c r="AD86" s="188">
        <f>1/(COS((4*ATAN(1))/2-(AC86*(4*ATAN(1))/180)))</f>
        <v>-5.0952687190676222</v>
      </c>
      <c r="AE86" s="188" t="str">
        <f>IF(AC86&gt;10,AD86-((AD86-1)*(0.0018161+(AD86-1)*(0.002875+(AD86-1)*0.0008083))),"")</f>
        <v/>
      </c>
      <c r="AF86" s="87"/>
      <c r="AG86" s="87"/>
      <c r="AH86" s="87"/>
      <c r="AI86" s="87"/>
    </row>
    <row r="87" spans="1:35">
      <c r="A87" s="42" t="s">
        <v>154</v>
      </c>
      <c r="B87" s="187">
        <v>2.2886000000000002</v>
      </c>
      <c r="C87" s="187">
        <v>33.846899999999998</v>
      </c>
      <c r="D87" s="172">
        <v>4.01</v>
      </c>
      <c r="E87" s="172">
        <v>0.01</v>
      </c>
      <c r="F87" s="172">
        <v>0.03</v>
      </c>
      <c r="G87" s="188">
        <f>IF($AH$3&gt;0.5,($AH$2+2415019)+((((HOUR($AH$3)*60)+MINUTE($AH$3))/1440+DAY($AH$2))-0.5)-DAY($AH$2),($AH$2+2415019)+((((HOUR($AH$3)*60)+MINUTE($AH$3))/1440+DAY($AH$2))-1.5)-DAY($AH$2)+1)</f>
        <v>2461051.9375</v>
      </c>
      <c r="H87" s="188">
        <f>IF((G87-ROUNDDOWN(G87,0))&lt;0.5,ROUNDDOWN(G87,0)-0.5,ROUNDDOWN(G87,0)+0.5)</f>
        <v>2461051.5</v>
      </c>
      <c r="I87" s="188">
        <f>$AH$3*24</f>
        <v>10.5</v>
      </c>
      <c r="J87" s="188">
        <f>G87-2451545</f>
        <v>9506.9375</v>
      </c>
      <c r="K87" s="188">
        <f>G87-2451545</f>
        <v>9506.9375</v>
      </c>
      <c r="L87" s="188">
        <f>AVERAGE(H87-2451545)/36525</f>
        <v>0.26027378507871324</v>
      </c>
      <c r="M87" s="188">
        <f>6.697374558+(0.065707485828*K87)+(1.0027379093*I87)+(0.0854103*L87)+(0.000025862*L87*L87)</f>
        <v>641.92531546860243</v>
      </c>
      <c r="N87" s="188">
        <f>M87-24*(ROUNDDOWN(M87/24,0))</f>
        <v>17.925315468602435</v>
      </c>
      <c r="O87" s="188">
        <f>125.04-0.052954*J87</f>
        <v>-378.39036837499998</v>
      </c>
      <c r="P87" s="188">
        <f>280.47+0.98565*J87</f>
        <v>9650.9829468749995</v>
      </c>
      <c r="Q87" s="188">
        <f>23.4393-0.0000004*J87</f>
        <v>23.435497224999999</v>
      </c>
      <c r="R87" s="188">
        <f>-0.000319*SIN(RADIANS(O87))-0.000024*SIN((RADIANS(2*P87)))</f>
        <v>1.1668967270040724E-4</v>
      </c>
      <c r="S87" s="188">
        <f>N87+R87*COS(RADIANS(Q87))</f>
        <v>17.925422532357235</v>
      </c>
      <c r="T87" s="188">
        <f>S87-'Data Entry-V'!$F$9/15</f>
        <v>29.556533643468349</v>
      </c>
      <c r="U87" s="188">
        <f>IF(T87&lt;0,T87+24,IF(T87&gt;24,T87-24,T87))</f>
        <v>5.5565336434683488</v>
      </c>
      <c r="V87" s="188">
        <f>U87-B87</f>
        <v>3.2679336434683486</v>
      </c>
      <c r="W87" s="188">
        <f>V87*15</f>
        <v>49.019004652025231</v>
      </c>
      <c r="X87" s="188">
        <f>IF(W87&lt;0,W87+360,W87)</f>
        <v>49.019004652025231</v>
      </c>
      <c r="Y87" s="188">
        <f>-SIN(RADIANS(X87))</f>
        <v>-0.75492714938215411</v>
      </c>
      <c r="Z87" s="188">
        <f>TAN(RADIANS(C87))*COS(RADIANS('Data Entry-V'!$F$8))-SIN(RADIANS('Data Entry-V'!$F$8))*COS(RADIANS(X87))</f>
        <v>0.92990913817281684</v>
      </c>
      <c r="AA87" s="188">
        <f>DEGREES(ATAN2(Z87,Y87))</f>
        <v>-39.070691446560573</v>
      </c>
      <c r="AB87" s="126">
        <f>IF(AA87&lt;0,AA87+360,AA87)</f>
        <v>320.92930855343945</v>
      </c>
      <c r="AC87" s="126">
        <f>DEGREES(ASIN((SIN(RADIANS('Data Entry-V'!$F$8))*SIN(RADIANS(C87)))+(COS(RADIANS('Data Entry-V'!$F$8))*COS(RADIANS(C87))*COS(RADIANS((U87-B87)*15)))))</f>
        <v>5.8567645587573018</v>
      </c>
      <c r="AD87" s="188">
        <f>1/(COS((4*ATAN(1))/2-(AC87*(4*ATAN(1))/180)))</f>
        <v>9.7998955363898386</v>
      </c>
      <c r="AE87" s="188" t="str">
        <f>IF(AC87&gt;10,AD87-((AD87-1)*(0.0018161+(AD87-1)*(0.002875+(AD87-1)*0.0008083))),"")</f>
        <v/>
      </c>
      <c r="AF87" s="87"/>
      <c r="AG87" s="87"/>
      <c r="AH87" s="87"/>
      <c r="AI87" s="87"/>
    </row>
    <row r="88" spans="1:35">
      <c r="A88" s="42" t="s">
        <v>155</v>
      </c>
      <c r="B88" s="187">
        <v>22.920500000000001</v>
      </c>
      <c r="C88" s="187">
        <v>8.8163</v>
      </c>
      <c r="D88" s="172">
        <v>4.91</v>
      </c>
      <c r="E88" s="172">
        <v>0</v>
      </c>
      <c r="F88" s="172">
        <v>-0.01</v>
      </c>
      <c r="G88" s="188">
        <f>IF($AH$3&gt;0.5,($AH$2+2415019)+((((HOUR($AH$3)*60)+MINUTE($AH$3))/1440+DAY($AH$2))-0.5)-DAY($AH$2),($AH$2+2415019)+((((HOUR($AH$3)*60)+MINUTE($AH$3))/1440+DAY($AH$2))-1.5)-DAY($AH$2)+1)</f>
        <v>2461051.9375</v>
      </c>
      <c r="H88" s="188">
        <f>IF((G88-ROUNDDOWN(G88,0))&lt;0.5,ROUNDDOWN(G88,0)-0.5,ROUNDDOWN(G88,0)+0.5)</f>
        <v>2461051.5</v>
      </c>
      <c r="I88" s="188">
        <f>$AH$3*24</f>
        <v>10.5</v>
      </c>
      <c r="J88" s="188">
        <f>G88-2451545</f>
        <v>9506.9375</v>
      </c>
      <c r="K88" s="188">
        <f>G88-2451545</f>
        <v>9506.9375</v>
      </c>
      <c r="L88" s="188">
        <f>AVERAGE(H88-2451545)/36525</f>
        <v>0.26027378507871324</v>
      </c>
      <c r="M88" s="188">
        <f>6.697374558+(0.065707485828*K88)+(1.0027379093*I88)+(0.0854103*L88)+(0.000025862*L88*L88)</f>
        <v>641.92531546860243</v>
      </c>
      <c r="N88" s="188">
        <f>M88-24*(ROUNDDOWN(M88/24,0))</f>
        <v>17.925315468602435</v>
      </c>
      <c r="O88" s="188">
        <f>125.04-0.052954*J88</f>
        <v>-378.39036837499998</v>
      </c>
      <c r="P88" s="188">
        <f>280.47+0.98565*J88</f>
        <v>9650.9829468749995</v>
      </c>
      <c r="Q88" s="188">
        <f>23.4393-0.0000004*J88</f>
        <v>23.435497224999999</v>
      </c>
      <c r="R88" s="188">
        <f>-0.000319*SIN(RADIANS(O88))-0.000024*SIN((RADIANS(2*P88)))</f>
        <v>1.1668967270040724E-4</v>
      </c>
      <c r="S88" s="188">
        <f>N88+R88*COS(RADIANS(Q88))</f>
        <v>17.925422532357235</v>
      </c>
      <c r="T88" s="188">
        <f>S88-'Data Entry-V'!$F$9/15</f>
        <v>29.556533643468349</v>
      </c>
      <c r="U88" s="188">
        <f>IF(T88&lt;0,T88+24,IF(T88&gt;24,T88-24,T88))</f>
        <v>5.5565336434683488</v>
      </c>
      <c r="V88" s="188">
        <f>U88-B88</f>
        <v>-17.363966356531652</v>
      </c>
      <c r="W88" s="188">
        <f>V88*15</f>
        <v>-260.45949534797478</v>
      </c>
      <c r="X88" s="188">
        <f>IF(W88&lt;0,W88+360,W88)</f>
        <v>99.54050465202522</v>
      </c>
      <c r="Y88" s="188">
        <f>-SIN(RADIANS(X88))</f>
        <v>-0.98616867641358086</v>
      </c>
      <c r="Z88" s="188">
        <f>TAN(RADIANS(C88))*COS(RADIANS('Data Entry-V'!$F$8))-SIN(RADIANS('Data Entry-V'!$F$8))*COS(RADIANS(X88))</f>
        <v>2.4776714578036901E-2</v>
      </c>
      <c r="AA88" s="188">
        <f>DEGREES(ATAN2(Z88,Y88))</f>
        <v>-88.560791245908845</v>
      </c>
      <c r="AB88" s="126">
        <f>IF(AA88&lt;0,AA88+360,AA88)</f>
        <v>271.43920875409117</v>
      </c>
      <c r="AC88" s="126">
        <f>DEGREES(ASIN((SIN(RADIANS('Data Entry-V'!$F$8))*SIN(RADIANS(C88)))+(COS(RADIANS('Data Entry-V'!$F$8))*COS(RADIANS(C88))*COS(RADIANS((U88-B88)*15)))))</f>
        <v>-12.88375919206729</v>
      </c>
      <c r="AD88" s="188">
        <f>1/(COS((4*ATAN(1))/2-(AC88*(4*ATAN(1))/180)))</f>
        <v>-4.4848317384793432</v>
      </c>
      <c r="AE88" s="188" t="str">
        <f>IF(AC88&gt;10,AD88-((AD88-1)*(0.0018161+(AD88-1)*(0.002875+(AD88-1)*0.0008083))),"")</f>
        <v/>
      </c>
      <c r="AF88" s="87"/>
      <c r="AG88" s="87"/>
      <c r="AH88" s="87"/>
      <c r="AI88" s="87"/>
    </row>
    <row r="89" spans="1:35">
      <c r="A89" s="42" t="s">
        <v>156</v>
      </c>
      <c r="B89" s="187">
        <v>22.172499999999999</v>
      </c>
      <c r="C89" s="187">
        <v>-3.8940999999999999</v>
      </c>
      <c r="D89" s="172">
        <v>6.27</v>
      </c>
      <c r="E89" s="172">
        <v>0</v>
      </c>
      <c r="F89" s="172">
        <v>-7.0000000000000007E-2</v>
      </c>
      <c r="G89" s="188">
        <f>IF($AH$3&gt;0.5,($AH$2+2415019)+((((HOUR($AH$3)*60)+MINUTE($AH$3))/1440+DAY($AH$2))-0.5)-DAY($AH$2),($AH$2+2415019)+((((HOUR($AH$3)*60)+MINUTE($AH$3))/1440+DAY($AH$2))-1.5)-DAY($AH$2)+1)</f>
        <v>2461051.9375</v>
      </c>
      <c r="H89" s="188">
        <f>IF((G89-ROUNDDOWN(G89,0))&lt;0.5,ROUNDDOWN(G89,0)-0.5,ROUNDDOWN(G89,0)+0.5)</f>
        <v>2461051.5</v>
      </c>
      <c r="I89" s="188">
        <f>$AH$3*24</f>
        <v>10.5</v>
      </c>
      <c r="J89" s="188">
        <f>G89-2451545</f>
        <v>9506.9375</v>
      </c>
      <c r="K89" s="188">
        <f>G89-2451545</f>
        <v>9506.9375</v>
      </c>
      <c r="L89" s="188">
        <f>AVERAGE(H89-2451545)/36525</f>
        <v>0.26027378507871324</v>
      </c>
      <c r="M89" s="188">
        <f>6.697374558+(0.065707485828*K89)+(1.0027379093*I89)+(0.0854103*L89)+(0.000025862*L89*L89)</f>
        <v>641.92531546860243</v>
      </c>
      <c r="N89" s="188">
        <f>M89-24*(ROUNDDOWN(M89/24,0))</f>
        <v>17.925315468602435</v>
      </c>
      <c r="O89" s="188">
        <f>125.04-0.052954*J89</f>
        <v>-378.39036837499998</v>
      </c>
      <c r="P89" s="188">
        <f>280.47+0.98565*J89</f>
        <v>9650.9829468749995</v>
      </c>
      <c r="Q89" s="188">
        <f>23.4393-0.0000004*J89</f>
        <v>23.435497224999999</v>
      </c>
      <c r="R89" s="188">
        <f>-0.000319*SIN(RADIANS(O89))-0.000024*SIN((RADIANS(2*P89)))</f>
        <v>1.1668967270040724E-4</v>
      </c>
      <c r="S89" s="188">
        <f>N89+R89*COS(RADIANS(Q89))</f>
        <v>17.925422532357235</v>
      </c>
      <c r="T89" s="188">
        <f>S89-'Data Entry-V'!$F$9/15</f>
        <v>29.556533643468349</v>
      </c>
      <c r="U89" s="188">
        <f>IF(T89&lt;0,T89+24,IF(T89&gt;24,T89-24,T89))</f>
        <v>5.5565336434683488</v>
      </c>
      <c r="V89" s="188">
        <f>U89-B89</f>
        <v>-16.615966356531651</v>
      </c>
      <c r="W89" s="188">
        <f>V89*15</f>
        <v>-249.23949534797475</v>
      </c>
      <c r="X89" s="188">
        <f>IF(W89&lt;0,W89+360,W89)</f>
        <v>110.76050465202525</v>
      </c>
      <c r="Y89" s="188">
        <f>-SIN(RADIANS(X89))</f>
        <v>-0.93507023797983146</v>
      </c>
      <c r="Z89" s="188">
        <f>TAN(RADIANS(C89))*COS(RADIANS('Data Entry-V'!$F$8))-SIN(RADIANS('Data Entry-V'!$F$8))*COS(RADIANS(X89))</f>
        <v>-0.26697829935688078</v>
      </c>
      <c r="AA89" s="188">
        <f>DEGREES(ATAN2(Z89,Y89))</f>
        <v>-105.93493633650779</v>
      </c>
      <c r="AB89" s="126">
        <f>IF(AA89&lt;0,AA89+360,AA89)</f>
        <v>254.0650636634922</v>
      </c>
      <c r="AC89" s="126">
        <f>DEGREES(ASIN((SIN(RADIANS('Data Entry-V'!$F$8))*SIN(RADIANS(C89)))+(COS(RADIANS('Data Entry-V'!$F$8))*COS(RADIANS(C89))*COS(RADIANS((U89-B89)*15)))))</f>
        <v>-14.024560402042514</v>
      </c>
      <c r="AD89" s="188">
        <f>1/(COS((4*ATAN(1))/2-(AC89*(4*ATAN(1))/180)))</f>
        <v>-4.1264713929411112</v>
      </c>
      <c r="AE89" s="188" t="str">
        <f>IF(AC89&gt;10,AD89-((AD89-1)*(0.0018161+(AD89-1)*(0.002875+(AD89-1)*0.0008083))),"")</f>
        <v/>
      </c>
      <c r="AF89" s="87"/>
      <c r="AG89" s="87"/>
      <c r="AH89" s="87"/>
      <c r="AI89" s="87"/>
    </row>
    <row r="90" spans="1:35">
      <c r="A90" s="42" t="s">
        <v>157</v>
      </c>
      <c r="B90" s="187">
        <v>2.1415000000000002</v>
      </c>
      <c r="C90" s="187">
        <v>37.8583</v>
      </c>
      <c r="D90" s="172">
        <v>4.83</v>
      </c>
      <c r="E90" s="172">
        <v>0.12</v>
      </c>
      <c r="F90" s="172">
        <v>0.14000000000000001</v>
      </c>
      <c r="G90" s="188">
        <f>IF($AH$3&gt;0.5,($AH$2+2415019)+((((HOUR($AH$3)*60)+MINUTE($AH$3))/1440+DAY($AH$2))-0.5)-DAY($AH$2),($AH$2+2415019)+((((HOUR($AH$3)*60)+MINUTE($AH$3))/1440+DAY($AH$2))-1.5)-DAY($AH$2)+1)</f>
        <v>2461051.9375</v>
      </c>
      <c r="H90" s="188">
        <f>IF((G90-ROUNDDOWN(G90,0))&lt;0.5,ROUNDDOWN(G90,0)-0.5,ROUNDDOWN(G90,0)+0.5)</f>
        <v>2461051.5</v>
      </c>
      <c r="I90" s="188">
        <f>$AH$3*24</f>
        <v>10.5</v>
      </c>
      <c r="J90" s="188">
        <f>G90-2451545</f>
        <v>9506.9375</v>
      </c>
      <c r="K90" s="188">
        <f>G90-2451545</f>
        <v>9506.9375</v>
      </c>
      <c r="L90" s="188">
        <f>AVERAGE(H90-2451545)/36525</f>
        <v>0.26027378507871324</v>
      </c>
      <c r="M90" s="188">
        <f>6.697374558+(0.065707485828*K90)+(1.0027379093*I90)+(0.0854103*L90)+(0.000025862*L90*L90)</f>
        <v>641.92531546860243</v>
      </c>
      <c r="N90" s="188">
        <f>M90-24*(ROUNDDOWN(M90/24,0))</f>
        <v>17.925315468602435</v>
      </c>
      <c r="O90" s="188">
        <f>125.04-0.052954*J90</f>
        <v>-378.39036837499998</v>
      </c>
      <c r="P90" s="188">
        <f>280.47+0.98565*J90</f>
        <v>9650.9829468749995</v>
      </c>
      <c r="Q90" s="188">
        <f>23.4393-0.0000004*J90</f>
        <v>23.435497224999999</v>
      </c>
      <c r="R90" s="188">
        <f>-0.000319*SIN(RADIANS(O90))-0.000024*SIN((RADIANS(2*P90)))</f>
        <v>1.1668967270040724E-4</v>
      </c>
      <c r="S90" s="188">
        <f>N90+R90*COS(RADIANS(Q90))</f>
        <v>17.925422532357235</v>
      </c>
      <c r="T90" s="188">
        <f>S90-'Data Entry-V'!$F$9/15</f>
        <v>29.556533643468349</v>
      </c>
      <c r="U90" s="188">
        <f>IF(T90&lt;0,T90+24,IF(T90&gt;24,T90-24,T90))</f>
        <v>5.5565336434683488</v>
      </c>
      <c r="V90" s="188">
        <f>U90-B90</f>
        <v>3.4150336434683486</v>
      </c>
      <c r="W90" s="188">
        <f>V90*15</f>
        <v>51.225504652025229</v>
      </c>
      <c r="X90" s="188">
        <f>IF(W90&lt;0,W90+360,W90)</f>
        <v>51.225504652025229</v>
      </c>
      <c r="Y90" s="188">
        <f>-SIN(RADIANS(X90))</f>
        <v>-0.77961681422554541</v>
      </c>
      <c r="Z90" s="188">
        <f>TAN(RADIANS(C90))*COS(RADIANS('Data Entry-V'!$F$8))-SIN(RADIANS('Data Entry-V'!$F$8))*COS(RADIANS(X90))</f>
        <v>0.9975802450148028</v>
      </c>
      <c r="AA90" s="188">
        <f>DEGREES(ATAN2(Z90,Y90))</f>
        <v>-38.007906288453334</v>
      </c>
      <c r="AB90" s="126">
        <f>IF(AA90&lt;0,AA90+360,AA90)</f>
        <v>321.99209371154666</v>
      </c>
      <c r="AC90" s="126">
        <f>DEGREES(ASIN((SIN(RADIANS('Data Entry-V'!$F$8))*SIN(RADIANS(C90)))+(COS(RADIANS('Data Entry-V'!$F$8))*COS(RADIANS(C90))*COS(RADIANS((U90-B90)*15)))))</f>
        <v>1.5950638586089727</v>
      </c>
      <c r="AD90" s="188">
        <f>1/(COS((4*ATAN(1))/2-(AC90*(4*ATAN(1))/180)))</f>
        <v>35.925320942079971</v>
      </c>
      <c r="AE90" s="188" t="str">
        <f>IF(AC90&gt;10,AD90-((AD90-1)*(0.0018161+(AD90-1)*(0.002875+(AD90-1)*0.0008083))),"")</f>
        <v/>
      </c>
      <c r="AF90" s="87"/>
      <c r="AG90" s="87"/>
      <c r="AH90" s="87"/>
      <c r="AI90" s="87"/>
    </row>
    <row r="91" spans="1:35">
      <c r="A91" s="42" t="s">
        <v>158</v>
      </c>
      <c r="B91" s="187">
        <v>2.9794</v>
      </c>
      <c r="C91" s="187">
        <v>39.662500000000001</v>
      </c>
      <c r="D91" s="172">
        <v>4.7</v>
      </c>
      <c r="E91" s="172">
        <v>0.06</v>
      </c>
      <c r="F91" s="172">
        <v>0.12</v>
      </c>
      <c r="G91" s="188">
        <f>IF($AH$3&gt;0.5,($AH$2+2415019)+((((HOUR($AH$3)*60)+MINUTE($AH$3))/1440+DAY($AH$2))-0.5)-DAY($AH$2),($AH$2+2415019)+((((HOUR($AH$3)*60)+MINUTE($AH$3))/1440+DAY($AH$2))-1.5)-DAY($AH$2)+1)</f>
        <v>2461051.9375</v>
      </c>
      <c r="H91" s="188">
        <f>IF((G91-ROUNDDOWN(G91,0))&lt;0.5,ROUNDDOWN(G91,0)-0.5,ROUNDDOWN(G91,0)+0.5)</f>
        <v>2461051.5</v>
      </c>
      <c r="I91" s="188">
        <f>$AH$3*24</f>
        <v>10.5</v>
      </c>
      <c r="J91" s="188">
        <f>G91-2451545</f>
        <v>9506.9375</v>
      </c>
      <c r="K91" s="188">
        <f>G91-2451545</f>
        <v>9506.9375</v>
      </c>
      <c r="L91" s="188">
        <f>AVERAGE(H91-2451545)/36525</f>
        <v>0.26027378507871324</v>
      </c>
      <c r="M91" s="188">
        <f>6.697374558+(0.065707485828*K91)+(1.0027379093*I91)+(0.0854103*L91)+(0.000025862*L91*L91)</f>
        <v>641.92531546860243</v>
      </c>
      <c r="N91" s="188">
        <f>M91-24*(ROUNDDOWN(M91/24,0))</f>
        <v>17.925315468602435</v>
      </c>
      <c r="O91" s="188">
        <f>125.04-0.052954*J91</f>
        <v>-378.39036837499998</v>
      </c>
      <c r="P91" s="188">
        <f>280.47+0.98565*J91</f>
        <v>9650.9829468749995</v>
      </c>
      <c r="Q91" s="188">
        <f>23.4393-0.0000004*J91</f>
        <v>23.435497224999999</v>
      </c>
      <c r="R91" s="188">
        <f>-0.000319*SIN(RADIANS(O91))-0.000024*SIN((RADIANS(2*P91)))</f>
        <v>1.1668967270040724E-4</v>
      </c>
      <c r="S91" s="188">
        <f>N91+R91*COS(RADIANS(Q91))</f>
        <v>17.925422532357235</v>
      </c>
      <c r="T91" s="188">
        <f>S91-'Data Entry-V'!$F$9/15</f>
        <v>29.556533643468349</v>
      </c>
      <c r="U91" s="188">
        <f>IF(T91&lt;0,T91+24,IF(T91&gt;24,T91-24,T91))</f>
        <v>5.5565336434683488</v>
      </c>
      <c r="V91" s="188">
        <f>U91-B91</f>
        <v>2.5771336434683487</v>
      </c>
      <c r="W91" s="188">
        <f>V91*15</f>
        <v>38.657004652025229</v>
      </c>
      <c r="X91" s="188">
        <f>IF(W91&lt;0,W91+360,W91)</f>
        <v>38.657004652025229</v>
      </c>
      <c r="Y91" s="188">
        <f>-SIN(RADIANS(X91))</f>
        <v>-0.62465683726609211</v>
      </c>
      <c r="Z91" s="188">
        <f>TAN(RADIANS(C91))*COS(RADIANS('Data Entry-V'!$F$8))-SIN(RADIANS('Data Entry-V'!$F$8))*COS(RADIANS(X91))</f>
        <v>1.1317469693998961</v>
      </c>
      <c r="AA91" s="188">
        <f>DEGREES(ATAN2(Z91,Y91))</f>
        <v>-28.896078750558345</v>
      </c>
      <c r="AB91" s="126">
        <f>IF(AA91&lt;0,AA91+360,AA91)</f>
        <v>331.10392124944167</v>
      </c>
      <c r="AC91" s="126">
        <f>DEGREES(ASIN((SIN(RADIANS('Data Entry-V'!$F$8))*SIN(RADIANS(C91)))+(COS(RADIANS('Data Entry-V'!$F$8))*COS(RADIANS(C91))*COS(RADIANS((U91-B91)*15)))))</f>
        <v>5.653809739721777</v>
      </c>
      <c r="AD91" s="188">
        <f>1/(COS((4*ATAN(1))/2-(AC91*(4*ATAN(1))/180)))</f>
        <v>10.150477634199605</v>
      </c>
      <c r="AE91" s="188" t="str">
        <f>IF(AC91&gt;10,AD91-((AD91-1)*(0.0018161+(AD91-1)*(0.002875+(AD91-1)*0.0008083))),"")</f>
        <v/>
      </c>
      <c r="AF91" s="87"/>
      <c r="AG91" s="87"/>
      <c r="AH91" s="87"/>
      <c r="AI91" s="87"/>
    </row>
    <row r="92" spans="1:35">
      <c r="A92" s="42" t="s">
        <v>159</v>
      </c>
      <c r="B92" s="187">
        <v>21.0991</v>
      </c>
      <c r="C92" s="187">
        <v>-17.232900000000001</v>
      </c>
      <c r="D92" s="172">
        <v>4.07</v>
      </c>
      <c r="E92" s="172">
        <v>-0.01</v>
      </c>
      <c r="F92" s="172">
        <v>0.01</v>
      </c>
      <c r="G92" s="188">
        <f>IF($AH$3&gt;0.5,($AH$2+2415019)+((((HOUR($AH$3)*60)+MINUTE($AH$3))/1440+DAY($AH$2))-0.5)-DAY($AH$2),($AH$2+2415019)+((((HOUR($AH$3)*60)+MINUTE($AH$3))/1440+DAY($AH$2))-1.5)-DAY($AH$2)+1)</f>
        <v>2461051.9375</v>
      </c>
      <c r="H92" s="188">
        <f>IF((G92-ROUNDDOWN(G92,0))&lt;0.5,ROUNDDOWN(G92,0)-0.5,ROUNDDOWN(G92,0)+0.5)</f>
        <v>2461051.5</v>
      </c>
      <c r="I92" s="188">
        <f>$AH$3*24</f>
        <v>10.5</v>
      </c>
      <c r="J92" s="188">
        <f>G92-2451545</f>
        <v>9506.9375</v>
      </c>
      <c r="K92" s="188">
        <f>G92-2451545</f>
        <v>9506.9375</v>
      </c>
      <c r="L92" s="188">
        <f>AVERAGE(H92-2451545)/36525</f>
        <v>0.26027378507871324</v>
      </c>
      <c r="M92" s="188">
        <f>6.697374558+(0.065707485828*K92)+(1.0027379093*I92)+(0.0854103*L92)+(0.000025862*L92*L92)</f>
        <v>641.92531546860243</v>
      </c>
      <c r="N92" s="188">
        <f>M92-24*(ROUNDDOWN(M92/24,0))</f>
        <v>17.925315468602435</v>
      </c>
      <c r="O92" s="188">
        <f>125.04-0.052954*J92</f>
        <v>-378.39036837499998</v>
      </c>
      <c r="P92" s="188">
        <f>280.47+0.98565*J92</f>
        <v>9650.9829468749995</v>
      </c>
      <c r="Q92" s="188">
        <f>23.4393-0.0000004*J92</f>
        <v>23.435497224999999</v>
      </c>
      <c r="R92" s="188">
        <f>-0.000319*SIN(RADIANS(O92))-0.000024*SIN((RADIANS(2*P92)))</f>
        <v>1.1668967270040724E-4</v>
      </c>
      <c r="S92" s="188">
        <f>N92+R92*COS(RADIANS(Q92))</f>
        <v>17.925422532357235</v>
      </c>
      <c r="T92" s="188">
        <f>S92-'Data Entry-V'!$F$9/15</f>
        <v>29.556533643468349</v>
      </c>
      <c r="U92" s="188">
        <f>IF(T92&lt;0,T92+24,IF(T92&gt;24,T92-24,T92))</f>
        <v>5.5565336434683488</v>
      </c>
      <c r="V92" s="188">
        <f>U92-B92</f>
        <v>-15.542566356531651</v>
      </c>
      <c r="W92" s="188">
        <f>V92*15</f>
        <v>-233.13849534797475</v>
      </c>
      <c r="X92" s="188">
        <f>IF(W92&lt;0,W92+360,W92)</f>
        <v>126.86150465202525</v>
      </c>
      <c r="Y92" s="188">
        <f>-SIN(RADIANS(X92))</f>
        <v>-0.80008788264224184</v>
      </c>
      <c r="Z92" s="188">
        <f>TAN(RADIANS(C92))*COS(RADIANS('Data Entry-V'!$F$8))-SIN(RADIANS('Data Entry-V'!$F$8))*COS(RADIANS(X92))</f>
        <v>-0.60788691296319675</v>
      </c>
      <c r="AA92" s="188">
        <f>DEGREES(ATAN2(Z92,Y92))</f>
        <v>-127.2266679180464</v>
      </c>
      <c r="AB92" s="126">
        <f>IF(AA92&lt;0,AA92+360,AA92)</f>
        <v>232.77333208195358</v>
      </c>
      <c r="AC92" s="126">
        <f>DEGREES(ASIN((SIN(RADIANS('Data Entry-V'!$F$8))*SIN(RADIANS(C92)))+(COS(RADIANS('Data Entry-V'!$F$8))*COS(RADIANS(C92))*COS(RADIANS((U92-B92)*15)))))</f>
        <v>-16.318651683205839</v>
      </c>
      <c r="AD92" s="188">
        <f>1/(COS((4*ATAN(1))/2-(AC92*(4*ATAN(1))/180)))</f>
        <v>-3.5589830287948865</v>
      </c>
      <c r="AE92" s="188" t="str">
        <f>IF(AC92&gt;10,AD92-((AD92-1)*(0.0018161+(AD92-1)*(0.002875+(AD92-1)*0.0008083))),"")</f>
        <v/>
      </c>
      <c r="AF92" s="87"/>
      <c r="AG92" s="87"/>
      <c r="AH92" s="87"/>
      <c r="AI92" s="87"/>
    </row>
    <row r="93" spans="1:35">
      <c r="A93" s="42" t="s">
        <v>160</v>
      </c>
      <c r="B93" s="187">
        <v>22.2666</v>
      </c>
      <c r="C93" s="187">
        <v>8.5495999999999999</v>
      </c>
      <c r="D93" s="172">
        <v>6.2</v>
      </c>
      <c r="E93" s="172">
        <v>0.02</v>
      </c>
      <c r="F93" s="172">
        <v>-0.04</v>
      </c>
      <c r="G93" s="188">
        <f>IF($AH$3&gt;0.5,($AH$2+2415019)+((((HOUR($AH$3)*60)+MINUTE($AH$3))/1440+DAY($AH$2))-0.5)-DAY($AH$2),($AH$2+2415019)+((((HOUR($AH$3)*60)+MINUTE($AH$3))/1440+DAY($AH$2))-1.5)-DAY($AH$2)+1)</f>
        <v>2461051.9375</v>
      </c>
      <c r="H93" s="188">
        <f>IF((G93-ROUNDDOWN(G93,0))&lt;0.5,ROUNDDOWN(G93,0)-0.5,ROUNDDOWN(G93,0)+0.5)</f>
        <v>2461051.5</v>
      </c>
      <c r="I93" s="188">
        <f>$AH$3*24</f>
        <v>10.5</v>
      </c>
      <c r="J93" s="188">
        <f>G93-2451545</f>
        <v>9506.9375</v>
      </c>
      <c r="K93" s="188">
        <f>G93-2451545</f>
        <v>9506.9375</v>
      </c>
      <c r="L93" s="188">
        <f>AVERAGE(H93-2451545)/36525</f>
        <v>0.26027378507871324</v>
      </c>
      <c r="M93" s="188">
        <f>6.697374558+(0.065707485828*K93)+(1.0027379093*I93)+(0.0854103*L93)+(0.000025862*L93*L93)</f>
        <v>641.92531546860243</v>
      </c>
      <c r="N93" s="188">
        <f>M93-24*(ROUNDDOWN(M93/24,0))</f>
        <v>17.925315468602435</v>
      </c>
      <c r="O93" s="188">
        <f>125.04-0.052954*J93</f>
        <v>-378.39036837499998</v>
      </c>
      <c r="P93" s="188">
        <f>280.47+0.98565*J93</f>
        <v>9650.9829468749995</v>
      </c>
      <c r="Q93" s="188">
        <f>23.4393-0.0000004*J93</f>
        <v>23.435497224999999</v>
      </c>
      <c r="R93" s="188">
        <f>-0.000319*SIN(RADIANS(O93))-0.000024*SIN((RADIANS(2*P93)))</f>
        <v>1.1668967270040724E-4</v>
      </c>
      <c r="S93" s="188">
        <f>N93+R93*COS(RADIANS(Q93))</f>
        <v>17.925422532357235</v>
      </c>
      <c r="T93" s="188">
        <f>S93-'Data Entry-V'!$F$9/15</f>
        <v>29.556533643468349</v>
      </c>
      <c r="U93" s="188">
        <f>IF(T93&lt;0,T93+24,IF(T93&gt;24,T93-24,T93))</f>
        <v>5.5565336434683488</v>
      </c>
      <c r="V93" s="188">
        <f>U93-B93</f>
        <v>-16.710066356531652</v>
      </c>
      <c r="W93" s="188">
        <f>V93*15</f>
        <v>-250.65099534797477</v>
      </c>
      <c r="X93" s="188">
        <f>IF(W93&lt;0,W93+360,W93)</f>
        <v>109.34900465202523</v>
      </c>
      <c r="Y93" s="188">
        <f>-SIN(RADIANS(X93))</f>
        <v>-0.94351791992054312</v>
      </c>
      <c r="Z93" s="188">
        <f>TAN(RADIANS(C93))*COS(RADIANS('Data Entry-V'!$F$8))-SIN(RADIANS('Data Entry-V'!$F$8))*COS(RADIANS(X93))</f>
        <v>-7.829725991732997E-2</v>
      </c>
      <c r="AA93" s="188">
        <f>DEGREES(ATAN2(Z93,Y93))</f>
        <v>-94.743786073453052</v>
      </c>
      <c r="AB93" s="126">
        <f>IF(AA93&lt;0,AA93+360,AA93)</f>
        <v>265.25621392654693</v>
      </c>
      <c r="AC93" s="126">
        <f>DEGREES(ASIN((SIN(RADIANS('Data Entry-V'!$F$8))*SIN(RADIANS(C93)))+(COS(RADIANS('Data Entry-V'!$F$8))*COS(RADIANS(C93))*COS(RADIANS((U93-B93)*15)))))</f>
        <v>-20.570555692502793</v>
      </c>
      <c r="AD93" s="188">
        <f>1/(COS((4*ATAN(1))/2-(AC93*(4*ATAN(1))/180)))</f>
        <v>-2.8460792455887782</v>
      </c>
      <c r="AE93" s="188" t="str">
        <f>IF(AC93&gt;10,AD93-((AD93-1)*(0.0018161+(AD93-1)*(0.002875+(AD93-1)*0.0008083))),"")</f>
        <v/>
      </c>
      <c r="AF93" s="87"/>
      <c r="AG93" s="87"/>
      <c r="AH93" s="87"/>
      <c r="AI93" s="87"/>
    </row>
    <row r="94" spans="1:35">
      <c r="A94" s="42" t="s">
        <v>161</v>
      </c>
      <c r="B94" s="187">
        <v>0.2848</v>
      </c>
      <c r="C94" s="187">
        <v>38.6815</v>
      </c>
      <c r="D94" s="172">
        <v>4.6100000000000003</v>
      </c>
      <c r="E94" s="172">
        <v>0.06</v>
      </c>
      <c r="F94" s="172">
        <v>7.0000000000000007E-2</v>
      </c>
      <c r="G94" s="188">
        <f>IF($AH$3&gt;0.5,($AH$2+2415019)+((((HOUR($AH$3)*60)+MINUTE($AH$3))/1440+DAY($AH$2))-0.5)-DAY($AH$2),($AH$2+2415019)+((((HOUR($AH$3)*60)+MINUTE($AH$3))/1440+DAY($AH$2))-1.5)-DAY($AH$2)+1)</f>
        <v>2461051.9375</v>
      </c>
      <c r="H94" s="188">
        <f>IF((G94-ROUNDDOWN(G94,0))&lt;0.5,ROUNDDOWN(G94,0)-0.5,ROUNDDOWN(G94,0)+0.5)</f>
        <v>2461051.5</v>
      </c>
      <c r="I94" s="188">
        <f>$AH$3*24</f>
        <v>10.5</v>
      </c>
      <c r="J94" s="188">
        <f>G94-2451545</f>
        <v>9506.9375</v>
      </c>
      <c r="K94" s="188">
        <f>G94-2451545</f>
        <v>9506.9375</v>
      </c>
      <c r="L94" s="188">
        <f>AVERAGE(H94-2451545)/36525</f>
        <v>0.26027378507871324</v>
      </c>
      <c r="M94" s="188">
        <f>6.697374558+(0.065707485828*K94)+(1.0027379093*I94)+(0.0854103*L94)+(0.000025862*L94*L94)</f>
        <v>641.92531546860243</v>
      </c>
      <c r="N94" s="188">
        <f>M94-24*(ROUNDDOWN(M94/24,0))</f>
        <v>17.925315468602435</v>
      </c>
      <c r="O94" s="188">
        <f>125.04-0.052954*J94</f>
        <v>-378.39036837499998</v>
      </c>
      <c r="P94" s="188">
        <f>280.47+0.98565*J94</f>
        <v>9650.9829468749995</v>
      </c>
      <c r="Q94" s="188">
        <f>23.4393-0.0000004*J94</f>
        <v>23.435497224999999</v>
      </c>
      <c r="R94" s="188">
        <f>-0.000319*SIN(RADIANS(O94))-0.000024*SIN((RADIANS(2*P94)))</f>
        <v>1.1668967270040724E-4</v>
      </c>
      <c r="S94" s="188">
        <f>N94+R94*COS(RADIANS(Q94))</f>
        <v>17.925422532357235</v>
      </c>
      <c r="T94" s="188">
        <f>S94-'Data Entry-V'!$F$9/15</f>
        <v>29.556533643468349</v>
      </c>
      <c r="U94" s="188">
        <f>IF(T94&lt;0,T94+24,IF(T94&gt;24,T94-24,T94))</f>
        <v>5.5565336434683488</v>
      </c>
      <c r="V94" s="188">
        <f>U94-B94</f>
        <v>5.2717336434683491</v>
      </c>
      <c r="W94" s="188">
        <f>V94*15</f>
        <v>79.076004652025233</v>
      </c>
      <c r="X94" s="188">
        <f>IF(W94&lt;0,W94+360,W94)</f>
        <v>79.076004652025233</v>
      </c>
      <c r="Y94" s="188">
        <f>-SIN(RADIANS(X94))</f>
        <v>-0.98187943382441456</v>
      </c>
      <c r="Z94" s="188">
        <f>TAN(RADIANS(C94))*COS(RADIANS('Data Entry-V'!$F$8))-SIN(RADIANS('Data Entry-V'!$F$8))*COS(RADIANS(X94))</f>
        <v>0.75441051993378849</v>
      </c>
      <c r="AA94" s="188">
        <f>DEGREES(ATAN2(Z94,Y94))</f>
        <v>-52.463732841712186</v>
      </c>
      <c r="AB94" s="126">
        <f>IF(AA94&lt;0,AA94+360,AA94)</f>
        <v>307.53626715828784</v>
      </c>
      <c r="AC94" s="126">
        <f>DEGREES(ASIN((SIN(RADIANS('Data Entry-V'!$F$8))*SIN(RADIANS(C94)))+(COS(RADIANS('Data Entry-V'!$F$8))*COS(RADIANS(C94))*COS(RADIANS((U94-B94)*15)))))</f>
        <v>-14.848886687965182</v>
      </c>
      <c r="AD94" s="188">
        <f>1/(COS((4*ATAN(1))/2-(AC94*(4*ATAN(1))/180)))</f>
        <v>-3.9021254668544207</v>
      </c>
      <c r="AE94" s="188" t="str">
        <f>IF(AC94&gt;10,AD94-((AD94-1)*(0.0018161+(AD94-1)*(0.002875+(AD94-1)*0.0008083))),"")</f>
        <v/>
      </c>
      <c r="AF94" s="87"/>
      <c r="AG94" s="87"/>
      <c r="AH94" s="87"/>
      <c r="AI94" s="87"/>
    </row>
    <row r="95" spans="1:35">
      <c r="A95" s="42" t="s">
        <v>162</v>
      </c>
      <c r="B95" s="187">
        <v>0.3054</v>
      </c>
      <c r="C95" s="187">
        <v>36.784999999999997</v>
      </c>
      <c r="D95" s="172">
        <v>4.5</v>
      </c>
      <c r="E95" s="172">
        <v>0.06</v>
      </c>
      <c r="F95" s="172">
        <v>7.0000000000000007E-2</v>
      </c>
      <c r="G95" s="188">
        <f>IF($AH$3&gt;0.5,($AH$2+2415019)+((((HOUR($AH$3)*60)+MINUTE($AH$3))/1440+DAY($AH$2))-0.5)-DAY($AH$2),($AH$2+2415019)+((((HOUR($AH$3)*60)+MINUTE($AH$3))/1440+DAY($AH$2))-1.5)-DAY($AH$2)+1)</f>
        <v>2461051.9375</v>
      </c>
      <c r="H95" s="188">
        <f>IF((G95-ROUNDDOWN(G95,0))&lt;0.5,ROUNDDOWN(G95,0)-0.5,ROUNDDOWN(G95,0)+0.5)</f>
        <v>2461051.5</v>
      </c>
      <c r="I95" s="188">
        <f>$AH$3*24</f>
        <v>10.5</v>
      </c>
      <c r="J95" s="188">
        <f>G95-2451545</f>
        <v>9506.9375</v>
      </c>
      <c r="K95" s="188">
        <f>G95-2451545</f>
        <v>9506.9375</v>
      </c>
      <c r="L95" s="188">
        <f>AVERAGE(H95-2451545)/36525</f>
        <v>0.26027378507871324</v>
      </c>
      <c r="M95" s="188">
        <f>6.697374558+(0.065707485828*K95)+(1.0027379093*I95)+(0.0854103*L95)+(0.000025862*L95*L95)</f>
        <v>641.92531546860243</v>
      </c>
      <c r="N95" s="188">
        <f>M95-24*(ROUNDDOWN(M95/24,0))</f>
        <v>17.925315468602435</v>
      </c>
      <c r="O95" s="188">
        <f>125.04-0.052954*J95</f>
        <v>-378.39036837499998</v>
      </c>
      <c r="P95" s="188">
        <f>280.47+0.98565*J95</f>
        <v>9650.9829468749995</v>
      </c>
      <c r="Q95" s="188">
        <f>23.4393-0.0000004*J95</f>
        <v>23.435497224999999</v>
      </c>
      <c r="R95" s="188">
        <f>-0.000319*SIN(RADIANS(O95))-0.000024*SIN((RADIANS(2*P95)))</f>
        <v>1.1668967270040724E-4</v>
      </c>
      <c r="S95" s="188">
        <f>N95+R95*COS(RADIANS(Q95))</f>
        <v>17.925422532357235</v>
      </c>
      <c r="T95" s="188">
        <f>S95-'Data Entry-V'!$F$9/15</f>
        <v>29.556533643468349</v>
      </c>
      <c r="U95" s="188">
        <f>IF(T95&lt;0,T95+24,IF(T95&gt;24,T95-24,T95))</f>
        <v>5.5565336434683488</v>
      </c>
      <c r="V95" s="188">
        <f>U95-B95</f>
        <v>5.2511336434683491</v>
      </c>
      <c r="W95" s="188">
        <f>V95*15</f>
        <v>78.767004652025236</v>
      </c>
      <c r="X95" s="188">
        <f>IF(W95&lt;0,W95+360,W95)</f>
        <v>78.767004652025236</v>
      </c>
      <c r="Y95" s="188">
        <f>-SIN(RADIANS(X95))</f>
        <v>-0.98084313751109575</v>
      </c>
      <c r="Z95" s="188">
        <f>TAN(RADIANS(C95))*COS(RADIANS('Data Entry-V'!$F$8))-SIN(RADIANS('Data Entry-V'!$F$8))*COS(RADIANS(X95))</f>
        <v>0.71521610541786085</v>
      </c>
      <c r="AA95" s="188">
        <f>DEGREES(ATAN2(Z95,Y95))</f>
        <v>-53.901030159388782</v>
      </c>
      <c r="AB95" s="126">
        <f>IF(AA95&lt;0,AA95+360,AA95)</f>
        <v>306.09896984061123</v>
      </c>
      <c r="AC95" s="126">
        <f>DEGREES(ASIN((SIN(RADIANS('Data Entry-V'!$F$8))*SIN(RADIANS(C95)))+(COS(RADIANS('Data Entry-V'!$F$8))*COS(RADIANS(C95))*COS(RADIANS((U95-B95)*15)))))</f>
        <v>-13.539340008771624</v>
      </c>
      <c r="AD95" s="188">
        <f>1/(COS((4*ATAN(1))/2-(AC95*(4*ATAN(1))/180)))</f>
        <v>-4.2714424757143288</v>
      </c>
      <c r="AE95" s="188" t="str">
        <f>IF(AC95&gt;10,AD95-((AD95-1)*(0.0018161+(AD95-1)*(0.002875+(AD95-1)*0.0008083))),"")</f>
        <v/>
      </c>
      <c r="AF95" s="87"/>
      <c r="AG95" s="87"/>
      <c r="AH95" s="87"/>
      <c r="AI95" s="87"/>
    </row>
    <row r="96" spans="1:35">
      <c r="A96" s="42" t="s">
        <v>163</v>
      </c>
      <c r="B96" s="187">
        <v>1.1850000000000001</v>
      </c>
      <c r="C96" s="187">
        <v>55.15</v>
      </c>
      <c r="D96" s="172">
        <v>4.3600000000000003</v>
      </c>
      <c r="E96" s="172">
        <v>0.17</v>
      </c>
      <c r="F96" s="172">
        <v>0.12</v>
      </c>
      <c r="G96" s="188">
        <f>IF($AH$3&gt;0.5,($AH$2+2415019)+((((HOUR($AH$3)*60)+MINUTE($AH$3))/1440+DAY($AH$2))-0.5)-DAY($AH$2),($AH$2+2415019)+((((HOUR($AH$3)*60)+MINUTE($AH$3))/1440+DAY($AH$2))-1.5)-DAY($AH$2)+1)</f>
        <v>2461051.9375</v>
      </c>
      <c r="H96" s="188">
        <f>IF((G96-ROUNDDOWN(G96,0))&lt;0.5,ROUNDDOWN(G96,0)-0.5,ROUNDDOWN(G96,0)+0.5)</f>
        <v>2461051.5</v>
      </c>
      <c r="I96" s="188">
        <f>$AH$3*24</f>
        <v>10.5</v>
      </c>
      <c r="J96" s="188">
        <f>G96-2451545</f>
        <v>9506.9375</v>
      </c>
      <c r="K96" s="188">
        <f>G96-2451545</f>
        <v>9506.9375</v>
      </c>
      <c r="L96" s="188">
        <f>AVERAGE(H96-2451545)/36525</f>
        <v>0.26027378507871324</v>
      </c>
      <c r="M96" s="188">
        <f>6.697374558+(0.065707485828*K96)+(1.0027379093*I96)+(0.0854103*L96)+(0.000025862*L96*L96)</f>
        <v>641.92531546860243</v>
      </c>
      <c r="N96" s="188">
        <f>M96-24*(ROUNDDOWN(M96/24,0))</f>
        <v>17.925315468602435</v>
      </c>
      <c r="O96" s="188">
        <f>125.04-0.052954*J96</f>
        <v>-378.39036837499998</v>
      </c>
      <c r="P96" s="188">
        <f>280.47+0.98565*J96</f>
        <v>9650.9829468749995</v>
      </c>
      <c r="Q96" s="188">
        <f>23.4393-0.0000004*J96</f>
        <v>23.435497224999999</v>
      </c>
      <c r="R96" s="188">
        <f>-0.000319*SIN(RADIANS(O96))-0.000024*SIN((RADIANS(2*P96)))</f>
        <v>1.1668967270040724E-4</v>
      </c>
      <c r="S96" s="188">
        <f>N96+R96*COS(RADIANS(Q96))</f>
        <v>17.925422532357235</v>
      </c>
      <c r="T96" s="188">
        <f>S96-'Data Entry-V'!$F$9/15</f>
        <v>29.556533643468349</v>
      </c>
      <c r="U96" s="188">
        <f>IF(T96&lt;0,T96+24,IF(T96&gt;24,T96-24,T96))</f>
        <v>5.5565336434683488</v>
      </c>
      <c r="V96" s="188">
        <f>U96-B96</f>
        <v>4.3715336434683483</v>
      </c>
      <c r="W96" s="188">
        <f>V96*15</f>
        <v>65.573004652025219</v>
      </c>
      <c r="X96" s="188">
        <f>IF(W96&lt;0,W96+360,W96)</f>
        <v>65.573004652025219</v>
      </c>
      <c r="Y96" s="188">
        <f>-SIN(RADIANS(X96))</f>
        <v>-0.91048892239720469</v>
      </c>
      <c r="Z96" s="188">
        <f>TAN(RADIANS(C96))*COS(RADIANS('Data Entry-V'!$F$8))-SIN(RADIANS('Data Entry-V'!$F$8))*COS(RADIANS(X96))</f>
        <v>1.3973670145213413</v>
      </c>
      <c r="AA96" s="188">
        <f>DEGREES(ATAN2(Z96,Y96))</f>
        <v>-33.087246010426327</v>
      </c>
      <c r="AB96" s="126">
        <f>IF(AA96&lt;0,AA96+360,AA96)</f>
        <v>326.91275398957367</v>
      </c>
      <c r="AC96" s="126">
        <f>DEGREES(ASIN((SIN(RADIANS('Data Entry-V'!$F$8))*SIN(RADIANS(C96)))+(COS(RADIANS('Data Entry-V'!$F$8))*COS(RADIANS(C96))*COS(RADIANS((U96-B96)*15)))))</f>
        <v>-17.628060640451661</v>
      </c>
      <c r="AD96" s="188">
        <f>1/(COS((4*ATAN(1))/2-(AC96*(4*ATAN(1))/180)))</f>
        <v>-3.3021099014262787</v>
      </c>
      <c r="AE96" s="188" t="str">
        <f>IF(AC96&gt;10,AD96-((AD96-1)*(0.0018161+(AD96-1)*(0.002875+(AD96-1)*0.0008083))),"")</f>
        <v/>
      </c>
      <c r="AF96" s="87"/>
      <c r="AG96" s="87"/>
      <c r="AH96" s="87"/>
      <c r="AI96" s="87"/>
    </row>
    <row r="97" spans="1:35">
      <c r="A97" s="42" t="s">
        <v>164</v>
      </c>
      <c r="B97" s="187">
        <v>2.0571999999999999</v>
      </c>
      <c r="C97" s="187">
        <v>72.421400000000006</v>
      </c>
      <c r="D97" s="172">
        <v>3.98</v>
      </c>
      <c r="E97" s="172">
        <v>-0.01</v>
      </c>
      <c r="F97" s="172">
        <v>0.03</v>
      </c>
      <c r="G97" s="188">
        <f>IF($AH$3&gt;0.5,($AH$2+2415019)+((((HOUR($AH$3)*60)+MINUTE($AH$3))/1440+DAY($AH$2))-0.5)-DAY($AH$2),($AH$2+2415019)+((((HOUR($AH$3)*60)+MINUTE($AH$3))/1440+DAY($AH$2))-1.5)-DAY($AH$2)+1)</f>
        <v>2461051.9375</v>
      </c>
      <c r="H97" s="188">
        <f>IF((G97-ROUNDDOWN(G97,0))&lt;0.5,ROUNDDOWN(G97,0)-0.5,ROUNDDOWN(G97,0)+0.5)</f>
        <v>2461051.5</v>
      </c>
      <c r="I97" s="188">
        <f>$AH$3*24</f>
        <v>10.5</v>
      </c>
      <c r="J97" s="188">
        <f>G97-2451545</f>
        <v>9506.9375</v>
      </c>
      <c r="K97" s="188">
        <f>G97-2451545</f>
        <v>9506.9375</v>
      </c>
      <c r="L97" s="188">
        <f>AVERAGE(H97-2451545)/36525</f>
        <v>0.26027378507871324</v>
      </c>
      <c r="M97" s="188">
        <f>6.697374558+(0.065707485828*K97)+(1.0027379093*I97)+(0.0854103*L97)+(0.000025862*L97*L97)</f>
        <v>641.92531546860243</v>
      </c>
      <c r="N97" s="188">
        <f>M97-24*(ROUNDDOWN(M97/24,0))</f>
        <v>17.925315468602435</v>
      </c>
      <c r="O97" s="188">
        <f>125.04-0.052954*J97</f>
        <v>-378.39036837499998</v>
      </c>
      <c r="P97" s="188">
        <f>280.47+0.98565*J97</f>
        <v>9650.9829468749995</v>
      </c>
      <c r="Q97" s="188">
        <f>23.4393-0.0000004*J97</f>
        <v>23.435497224999999</v>
      </c>
      <c r="R97" s="188">
        <f>-0.000319*SIN(RADIANS(O97))-0.000024*SIN((RADIANS(2*P97)))</f>
        <v>1.1668967270040724E-4</v>
      </c>
      <c r="S97" s="188">
        <f>N97+R97*COS(RADIANS(Q97))</f>
        <v>17.925422532357235</v>
      </c>
      <c r="T97" s="188">
        <f>S97-'Data Entry-V'!$F$9/15</f>
        <v>29.556533643468349</v>
      </c>
      <c r="U97" s="188">
        <f>IF(T97&lt;0,T97+24,IF(T97&gt;24,T97-24,T97))</f>
        <v>5.5565336434683488</v>
      </c>
      <c r="V97" s="188">
        <f>U97-B97</f>
        <v>3.4993336434683489</v>
      </c>
      <c r="W97" s="188">
        <f>V97*15</f>
        <v>52.490004652025235</v>
      </c>
      <c r="X97" s="188">
        <f>IF(W97&lt;0,W97+360,W97)</f>
        <v>52.490004652025235</v>
      </c>
      <c r="Y97" s="188">
        <f>-SIN(RADIANS(X97))</f>
        <v>-0.79324712873386038</v>
      </c>
      <c r="Z97" s="188">
        <f>TAN(RADIANS(C97))*COS(RADIANS('Data Entry-V'!$F$8))-SIN(RADIANS('Data Entry-V'!$F$8))*COS(RADIANS(X97))</f>
        <v>2.8914286148899158</v>
      </c>
      <c r="AA97" s="188">
        <f>DEGREES(ATAN2(Z97,Y97))</f>
        <v>-15.341321064508621</v>
      </c>
      <c r="AB97" s="126">
        <f>IF(AA97&lt;0,AA97+360,AA97)</f>
        <v>344.65867893549137</v>
      </c>
      <c r="AC97" s="126">
        <f>DEGREES(ASIN((SIN(RADIANS('Data Entry-V'!$F$8))*SIN(RADIANS(C97)))+(COS(RADIANS('Data Entry-V'!$F$8))*COS(RADIANS(C97))*COS(RADIANS((U97-B97)*15)))))</f>
        <v>-25.106868841365561</v>
      </c>
      <c r="AD97" s="188">
        <f>1/(COS((4*ATAN(1))/2-(AC97*(4*ATAN(1))/180)))</f>
        <v>-2.3567786619710409</v>
      </c>
      <c r="AE97" s="188" t="str">
        <f>IF(AC97&gt;10,AD97-((AD97-1)*(0.0018161+(AD97-1)*(0.002875+(AD97-1)*0.0008083))),"")</f>
        <v/>
      </c>
      <c r="AF97" s="87"/>
      <c r="AG97" s="87"/>
      <c r="AH97" s="87"/>
      <c r="AI97" s="87"/>
    </row>
    <row r="98" spans="1:35">
      <c r="A98" s="42" t="s">
        <v>165</v>
      </c>
      <c r="B98" s="187">
        <v>3.1989999999999998</v>
      </c>
      <c r="C98" s="187">
        <v>74.293700000000001</v>
      </c>
      <c r="D98" s="172">
        <v>4.87</v>
      </c>
      <c r="E98" s="172">
        <v>0.03</v>
      </c>
      <c r="F98" s="172">
        <v>0.04</v>
      </c>
      <c r="G98" s="188">
        <f>IF($AH$3&gt;0.5,($AH$2+2415019)+((((HOUR($AH$3)*60)+MINUTE($AH$3))/1440+DAY($AH$2))-0.5)-DAY($AH$2),($AH$2+2415019)+((((HOUR($AH$3)*60)+MINUTE($AH$3))/1440+DAY($AH$2))-1.5)-DAY($AH$2)+1)</f>
        <v>2461051.9375</v>
      </c>
      <c r="H98" s="188">
        <f>IF((G98-ROUNDDOWN(G98,0))&lt;0.5,ROUNDDOWN(G98,0)-0.5,ROUNDDOWN(G98,0)+0.5)</f>
        <v>2461051.5</v>
      </c>
      <c r="I98" s="188">
        <f>$AH$3*24</f>
        <v>10.5</v>
      </c>
      <c r="J98" s="188">
        <f>G98-2451545</f>
        <v>9506.9375</v>
      </c>
      <c r="K98" s="188">
        <f>G98-2451545</f>
        <v>9506.9375</v>
      </c>
      <c r="L98" s="188">
        <f>AVERAGE(H98-2451545)/36525</f>
        <v>0.26027378507871324</v>
      </c>
      <c r="M98" s="188">
        <f>6.697374558+(0.065707485828*K98)+(1.0027379093*I98)+(0.0854103*L98)+(0.000025862*L98*L98)</f>
        <v>641.92531546860243</v>
      </c>
      <c r="N98" s="188">
        <f>M98-24*(ROUNDDOWN(M98/24,0))</f>
        <v>17.925315468602435</v>
      </c>
      <c r="O98" s="188">
        <f>125.04-0.052954*J98</f>
        <v>-378.39036837499998</v>
      </c>
      <c r="P98" s="188">
        <f>280.47+0.98565*J98</f>
        <v>9650.9829468749995</v>
      </c>
      <c r="Q98" s="188">
        <f>23.4393-0.0000004*J98</f>
        <v>23.435497224999999</v>
      </c>
      <c r="R98" s="188">
        <f>-0.000319*SIN(RADIANS(O98))-0.000024*SIN((RADIANS(2*P98)))</f>
        <v>1.1668967270040724E-4</v>
      </c>
      <c r="S98" s="188">
        <f>N98+R98*COS(RADIANS(Q98))</f>
        <v>17.925422532357235</v>
      </c>
      <c r="T98" s="188">
        <f>S98-'Data Entry-V'!$F$9/15</f>
        <v>29.556533643468349</v>
      </c>
      <c r="U98" s="188">
        <f>IF(T98&lt;0,T98+24,IF(T98&gt;24,T98-24,T98))</f>
        <v>5.5565336434683488</v>
      </c>
      <c r="V98" s="188">
        <f>U98-B98</f>
        <v>2.3575336434683489</v>
      </c>
      <c r="W98" s="188">
        <f>V98*15</f>
        <v>35.363004652025232</v>
      </c>
      <c r="X98" s="188">
        <f>IF(W98&lt;0,W98+360,W98)</f>
        <v>35.363004652025232</v>
      </c>
      <c r="Y98" s="188">
        <f>-SIN(RADIANS(X98))</f>
        <v>-0.57875473124332721</v>
      </c>
      <c r="Z98" s="188">
        <f>TAN(RADIANS(C98))*COS(RADIANS('Data Entry-V'!$F$8))-SIN(RADIANS('Data Entry-V'!$F$8))*COS(RADIANS(X98))</f>
        <v>3.3351354282113328</v>
      </c>
      <c r="AA98" s="188">
        <f>DEGREES(ATAN2(Z98,Y98))</f>
        <v>-9.8446478657538314</v>
      </c>
      <c r="AB98" s="126">
        <f>IF(AA98&lt;0,AA98+360,AA98)</f>
        <v>350.15535213424619</v>
      </c>
      <c r="AC98" s="126">
        <f>DEGREES(ASIN((SIN(RADIANS('Data Entry-V'!$F$8))*SIN(RADIANS(C98)))+(COS(RADIANS('Data Entry-V'!$F$8))*COS(RADIANS(C98))*COS(RADIANS((U98-B98)*15)))))</f>
        <v>-23.603934621253895</v>
      </c>
      <c r="AD98" s="188">
        <f>1/(COS((4*ATAN(1))/2-(AC98*(4*ATAN(1))/180)))</f>
        <v>-2.4974278979969506</v>
      </c>
      <c r="AE98" s="188" t="str">
        <f>IF(AC98&gt;10,AD98-((AD98-1)*(0.0018161+(AD98-1)*(0.002875+(AD98-1)*0.0008083))),"")</f>
        <v/>
      </c>
      <c r="AF98" s="87"/>
      <c r="AG98" s="87"/>
      <c r="AH98" s="87"/>
      <c r="AI98" s="87"/>
    </row>
    <row r="99" spans="1:35">
      <c r="A99" s="42" t="s">
        <v>166</v>
      </c>
      <c r="B99" s="187">
        <v>3.3574000000000002</v>
      </c>
      <c r="C99" s="187">
        <v>43.329700000000003</v>
      </c>
      <c r="D99" s="172">
        <v>4.9400000000000004</v>
      </c>
      <c r="E99" s="172">
        <v>0.06</v>
      </c>
      <c r="F99" s="172">
        <v>0.05</v>
      </c>
      <c r="G99" s="188">
        <f>IF($AH$3&gt;0.5,($AH$2+2415019)+((((HOUR($AH$3)*60)+MINUTE($AH$3))/1440+DAY($AH$2))-0.5)-DAY($AH$2),($AH$2+2415019)+((((HOUR($AH$3)*60)+MINUTE($AH$3))/1440+DAY($AH$2))-1.5)-DAY($AH$2)+1)</f>
        <v>2461051.9375</v>
      </c>
      <c r="H99" s="188">
        <f>IF((G99-ROUNDDOWN(G99,0))&lt;0.5,ROUNDDOWN(G99,0)-0.5,ROUNDDOWN(G99,0)+0.5)</f>
        <v>2461051.5</v>
      </c>
      <c r="I99" s="188">
        <f>$AH$3*24</f>
        <v>10.5</v>
      </c>
      <c r="J99" s="188">
        <f>G99-2451545</f>
        <v>9506.9375</v>
      </c>
      <c r="K99" s="188">
        <f>G99-2451545</f>
        <v>9506.9375</v>
      </c>
      <c r="L99" s="188">
        <f>AVERAGE(H99-2451545)/36525</f>
        <v>0.26027378507871324</v>
      </c>
      <c r="M99" s="188">
        <f>6.697374558+(0.065707485828*K99)+(1.0027379093*I99)+(0.0854103*L99)+(0.000025862*L99*L99)</f>
        <v>641.92531546860243</v>
      </c>
      <c r="N99" s="188">
        <f>M99-24*(ROUNDDOWN(M99/24,0))</f>
        <v>17.925315468602435</v>
      </c>
      <c r="O99" s="188">
        <f>125.04-0.052954*J99</f>
        <v>-378.39036837499998</v>
      </c>
      <c r="P99" s="188">
        <f>280.47+0.98565*J99</f>
        <v>9650.9829468749995</v>
      </c>
      <c r="Q99" s="188">
        <f>23.4393-0.0000004*J99</f>
        <v>23.435497224999999</v>
      </c>
      <c r="R99" s="188">
        <f>-0.000319*SIN(RADIANS(O99))-0.000024*SIN((RADIANS(2*P99)))</f>
        <v>1.1668967270040724E-4</v>
      </c>
      <c r="S99" s="188">
        <f>N99+R99*COS(RADIANS(Q99))</f>
        <v>17.925422532357235</v>
      </c>
      <c r="T99" s="188">
        <f>S99-'Data Entry-V'!$F$9/15</f>
        <v>29.556533643468349</v>
      </c>
      <c r="U99" s="188">
        <f>IF(T99&lt;0,T99+24,IF(T99&gt;24,T99-24,T99))</f>
        <v>5.5565336434683488</v>
      </c>
      <c r="V99" s="188">
        <f>U99-B99</f>
        <v>2.1991336434683486</v>
      </c>
      <c r="W99" s="188">
        <f>V99*15</f>
        <v>32.987004652025227</v>
      </c>
      <c r="X99" s="188">
        <f>IF(W99&lt;0,W99+360,W99)</f>
        <v>32.987004652025227</v>
      </c>
      <c r="Y99" s="188">
        <f>-SIN(RADIANS(X99))</f>
        <v>-0.54444880078614566</v>
      </c>
      <c r="Z99" s="188">
        <f>TAN(RADIANS(C99))*COS(RADIANS('Data Entry-V'!$F$8))-SIN(RADIANS('Data Entry-V'!$F$8))*COS(RADIANS(X99))</f>
        <v>1.2578743515212276</v>
      </c>
      <c r="AA99" s="188">
        <f>DEGREES(ATAN2(Z99,Y99))</f>
        <v>-23.404525484141693</v>
      </c>
      <c r="AB99" s="126">
        <f>IF(AA99&lt;0,AA99+360,AA99)</f>
        <v>336.59547451585831</v>
      </c>
      <c r="AC99" s="126">
        <f>DEGREES(ASIN((SIN(RADIANS('Data Entry-V'!$F$8))*SIN(RADIANS(C99)))+(COS(RADIANS('Data Entry-V'!$F$8))*COS(RADIANS(C99))*COS(RADIANS((U99-B99)*15)))))</f>
        <v>4.4155252970176111</v>
      </c>
      <c r="AD99" s="188">
        <f>1/(COS((4*ATAN(1))/2-(AC99*(4*ATAN(1))/180)))</f>
        <v>12.988835767887931</v>
      </c>
      <c r="AE99" s="188" t="str">
        <f>IF(AC99&gt;10,AD99-((AD99-1)*(0.0018161+(AD99-1)*(0.002875+(AD99-1)*0.0008083))),"")</f>
        <v/>
      </c>
      <c r="AF99" s="87"/>
      <c r="AG99" s="87"/>
      <c r="AH99" s="87"/>
      <c r="AI99" s="87"/>
    </row>
    <row r="100" spans="1:35">
      <c r="A100" s="42" t="s">
        <v>167</v>
      </c>
      <c r="B100" s="187">
        <v>3.8393000000000002</v>
      </c>
      <c r="C100" s="187">
        <v>71.331999999999994</v>
      </c>
      <c r="D100" s="172">
        <v>4.66</v>
      </c>
      <c r="E100" s="172">
        <v>0.03</v>
      </c>
      <c r="F100" s="172">
        <v>0.05</v>
      </c>
      <c r="G100" s="188">
        <f>IF($AH$3&gt;0.5,($AH$2+2415019)+((((HOUR($AH$3)*60)+MINUTE($AH$3))/1440+DAY($AH$2))-0.5)-DAY($AH$2),($AH$2+2415019)+((((HOUR($AH$3)*60)+MINUTE($AH$3))/1440+DAY($AH$2))-1.5)-DAY($AH$2)+1)</f>
        <v>2461051.9375</v>
      </c>
      <c r="H100" s="188">
        <f>IF((G100-ROUNDDOWN(G100,0))&lt;0.5,ROUNDDOWN(G100,0)-0.5,ROUNDDOWN(G100,0)+0.5)</f>
        <v>2461051.5</v>
      </c>
      <c r="I100" s="188">
        <f>$AH$3*24</f>
        <v>10.5</v>
      </c>
      <c r="J100" s="188">
        <f>G100-2451545</f>
        <v>9506.9375</v>
      </c>
      <c r="K100" s="188">
        <f>G100-2451545</f>
        <v>9506.9375</v>
      </c>
      <c r="L100" s="188">
        <f>AVERAGE(H100-2451545)/36525</f>
        <v>0.26027378507871324</v>
      </c>
      <c r="M100" s="188">
        <f>6.697374558+(0.065707485828*K100)+(1.0027379093*I100)+(0.0854103*L100)+(0.000025862*L100*L100)</f>
        <v>641.92531546860243</v>
      </c>
      <c r="N100" s="188">
        <f>M100-24*(ROUNDDOWN(M100/24,0))</f>
        <v>17.925315468602435</v>
      </c>
      <c r="O100" s="188">
        <f>125.04-0.052954*J100</f>
        <v>-378.39036837499998</v>
      </c>
      <c r="P100" s="188">
        <f>280.47+0.98565*J100</f>
        <v>9650.9829468749995</v>
      </c>
      <c r="Q100" s="188">
        <f>23.4393-0.0000004*J100</f>
        <v>23.435497224999999</v>
      </c>
      <c r="R100" s="188">
        <f>-0.000319*SIN(RADIANS(O100))-0.000024*SIN((RADIANS(2*P100)))</f>
        <v>1.1668967270040724E-4</v>
      </c>
      <c r="S100" s="188">
        <f>N100+R100*COS(RADIANS(Q100))</f>
        <v>17.925422532357235</v>
      </c>
      <c r="T100" s="188">
        <f>S100-'Data Entry-V'!$F$9/15</f>
        <v>29.556533643468349</v>
      </c>
      <c r="U100" s="188">
        <f>IF(T100&lt;0,T100+24,IF(T100&gt;24,T100-24,T100))</f>
        <v>5.5565336434683488</v>
      </c>
      <c r="V100" s="188">
        <f>U100-B100</f>
        <v>1.7172336434683486</v>
      </c>
      <c r="W100" s="188">
        <f>V100*15</f>
        <v>25.758504652025231</v>
      </c>
      <c r="X100" s="188">
        <f>IF(W100&lt;0,W100+360,W100)</f>
        <v>25.758504652025231</v>
      </c>
      <c r="Y100" s="188">
        <f>-SIN(RADIANS(X100))</f>
        <v>-0.43457894702212391</v>
      </c>
      <c r="Z100" s="188">
        <f>TAN(RADIANS(C100))*COS(RADIANS('Data Entry-V'!$F$8))-SIN(RADIANS('Data Entry-V'!$F$8))*COS(RADIANS(X100))</f>
        <v>2.908905190567185</v>
      </c>
      <c r="AA100" s="188">
        <f>DEGREES(ATAN2(Z100,Y100))</f>
        <v>-8.4969203149604287</v>
      </c>
      <c r="AB100" s="126">
        <f>IF(AA100&lt;0,AA100+360,AA100)</f>
        <v>351.50307968503955</v>
      </c>
      <c r="AC100" s="126">
        <f>DEGREES(ASIN((SIN(RADIANS('Data Entry-V'!$F$8))*SIN(RADIANS(C100)))+(COS(RADIANS('Data Entry-V'!$F$8))*COS(RADIANS(C100))*COS(RADIANS((U100-B100)*15)))))</f>
        <v>-19.707390170345157</v>
      </c>
      <c r="AD100" s="188">
        <f>1/(COS((4*ATAN(1))/2-(AC100*(4*ATAN(1))/180)))</f>
        <v>-2.9654522810817512</v>
      </c>
      <c r="AE100" s="188" t="str">
        <f>IF(AC100&gt;10,AD100-((AD100-1)*(0.0018161+(AD100-1)*(0.002875+(AD100-1)*0.0008083))),"")</f>
        <v/>
      </c>
      <c r="AF100" s="87"/>
      <c r="AG100" s="87"/>
      <c r="AH100" s="87"/>
      <c r="AI100" s="87"/>
    </row>
    <row r="101" spans="1:35">
      <c r="A101" s="42" t="s">
        <v>168</v>
      </c>
      <c r="B101" s="187">
        <v>4.1097000000000001</v>
      </c>
      <c r="C101" s="187">
        <v>50.351100000000002</v>
      </c>
      <c r="D101" s="172">
        <v>4.29</v>
      </c>
      <c r="E101" s="172">
        <v>0.02</v>
      </c>
      <c r="F101" s="172">
        <v>-0.04</v>
      </c>
      <c r="G101" s="188">
        <f>IF($AH$3&gt;0.5,($AH$2+2415019)+((((HOUR($AH$3)*60)+MINUTE($AH$3))/1440+DAY($AH$2))-0.5)-DAY($AH$2),($AH$2+2415019)+((((HOUR($AH$3)*60)+MINUTE($AH$3))/1440+DAY($AH$2))-1.5)-DAY($AH$2)+1)</f>
        <v>2461051.9375</v>
      </c>
      <c r="H101" s="188">
        <f>IF((G101-ROUNDDOWN(G101,0))&lt;0.5,ROUNDDOWN(G101,0)-0.5,ROUNDDOWN(G101,0)+0.5)</f>
        <v>2461051.5</v>
      </c>
      <c r="I101" s="188">
        <f>$AH$3*24</f>
        <v>10.5</v>
      </c>
      <c r="J101" s="188">
        <f>G101-2451545</f>
        <v>9506.9375</v>
      </c>
      <c r="K101" s="188">
        <f>G101-2451545</f>
        <v>9506.9375</v>
      </c>
      <c r="L101" s="188">
        <f>AVERAGE(H101-2451545)/36525</f>
        <v>0.26027378507871324</v>
      </c>
      <c r="M101" s="188">
        <f>6.697374558+(0.065707485828*K101)+(1.0027379093*I101)+(0.0854103*L101)+(0.000025862*L101*L101)</f>
        <v>641.92531546860243</v>
      </c>
      <c r="N101" s="188">
        <f>M101-24*(ROUNDDOWN(M101/24,0))</f>
        <v>17.925315468602435</v>
      </c>
      <c r="O101" s="188">
        <f>125.04-0.052954*J101</f>
        <v>-378.39036837499998</v>
      </c>
      <c r="P101" s="188">
        <f>280.47+0.98565*J101</f>
        <v>9650.9829468749995</v>
      </c>
      <c r="Q101" s="188">
        <f>23.4393-0.0000004*J101</f>
        <v>23.435497224999999</v>
      </c>
      <c r="R101" s="188">
        <f>-0.000319*SIN(RADIANS(O101))-0.000024*SIN((RADIANS(2*P101)))</f>
        <v>1.1668967270040724E-4</v>
      </c>
      <c r="S101" s="188">
        <f>N101+R101*COS(RADIANS(Q101))</f>
        <v>17.925422532357235</v>
      </c>
      <c r="T101" s="188">
        <f>S101-'Data Entry-V'!$F$9/15</f>
        <v>29.556533643468349</v>
      </c>
      <c r="U101" s="188">
        <f>IF(T101&lt;0,T101+24,IF(T101&gt;24,T101-24,T101))</f>
        <v>5.5565336434683488</v>
      </c>
      <c r="V101" s="188">
        <f>U101-B101</f>
        <v>1.4468336434683486</v>
      </c>
      <c r="W101" s="188">
        <f>V101*15</f>
        <v>21.70250465202523</v>
      </c>
      <c r="X101" s="188">
        <f>IF(W101&lt;0,W101+360,W101)</f>
        <v>21.70250465202523</v>
      </c>
      <c r="Y101" s="188">
        <f>-SIN(RADIANS(X101))</f>
        <v>-0.36978737341614132</v>
      </c>
      <c r="Z101" s="188">
        <f>TAN(RADIANS(C101))*COS(RADIANS('Data Entry-V'!$F$8))-SIN(RADIANS('Data Entry-V'!$F$8))*COS(RADIANS(X101))</f>
        <v>1.5228124182664196</v>
      </c>
      <c r="AA101" s="188">
        <f>DEGREES(ATAN2(Z101,Y101))</f>
        <v>-13.649051257053907</v>
      </c>
      <c r="AB101" s="126">
        <f>IF(AA101&lt;0,AA101+360,AA101)</f>
        <v>346.35094874294612</v>
      </c>
      <c r="AC101" s="126">
        <f>DEGREES(ASIN((SIN(RADIANS('Data Entry-V'!$F$8))*SIN(RADIANS(C101)))+(COS(RADIANS('Data Entry-V'!$F$8))*COS(RADIANS(C101))*COS(RADIANS((U101-B101)*15)))))</f>
        <v>0.74029482229114829</v>
      </c>
      <c r="AD101" s="188">
        <f>1/(COS((4*ATAN(1))/2-(AC101*(4*ATAN(1))/180)))</f>
        <v>77.39804736191077</v>
      </c>
      <c r="AE101" s="188" t="str">
        <f>IF(AC101&gt;10,AD101-((AD101-1)*(0.0018161+(AD101-1)*(0.002875+(AD101-1)*0.0008083))),"")</f>
        <v/>
      </c>
      <c r="AF101" s="87"/>
      <c r="AG101" s="87"/>
      <c r="AH101" s="87"/>
      <c r="AI101" s="87"/>
    </row>
    <row r="102" spans="1:35">
      <c r="A102" s="42" t="s">
        <v>169</v>
      </c>
      <c r="B102" s="187">
        <v>4.3041</v>
      </c>
      <c r="C102" s="187">
        <v>50.295200000000001</v>
      </c>
      <c r="D102" s="172">
        <v>4.66</v>
      </c>
      <c r="E102" s="172">
        <v>0.05</v>
      </c>
      <c r="F102" s="172">
        <v>0.05</v>
      </c>
      <c r="G102" s="188">
        <f>IF($AH$3&gt;0.5,($AH$2+2415019)+((((HOUR($AH$3)*60)+MINUTE($AH$3))/1440+DAY($AH$2))-0.5)-DAY($AH$2),($AH$2+2415019)+((((HOUR($AH$3)*60)+MINUTE($AH$3))/1440+DAY($AH$2))-1.5)-DAY($AH$2)+1)</f>
        <v>2461051.9375</v>
      </c>
      <c r="H102" s="188">
        <f>IF((G102-ROUNDDOWN(G102,0))&lt;0.5,ROUNDDOWN(G102,0)-0.5,ROUNDDOWN(G102,0)+0.5)</f>
        <v>2461051.5</v>
      </c>
      <c r="I102" s="188">
        <f>$AH$3*24</f>
        <v>10.5</v>
      </c>
      <c r="J102" s="188">
        <f>G102-2451545</f>
        <v>9506.9375</v>
      </c>
      <c r="K102" s="188">
        <f>G102-2451545</f>
        <v>9506.9375</v>
      </c>
      <c r="L102" s="188">
        <f>AVERAGE(H102-2451545)/36525</f>
        <v>0.26027378507871324</v>
      </c>
      <c r="M102" s="188">
        <f>6.697374558+(0.065707485828*K102)+(1.0027379093*I102)+(0.0854103*L102)+(0.000025862*L102*L102)</f>
        <v>641.92531546860243</v>
      </c>
      <c r="N102" s="188">
        <f>M102-24*(ROUNDDOWN(M102/24,0))</f>
        <v>17.925315468602435</v>
      </c>
      <c r="O102" s="188">
        <f>125.04-0.052954*J102</f>
        <v>-378.39036837499998</v>
      </c>
      <c r="P102" s="188">
        <f>280.47+0.98565*J102</f>
        <v>9650.9829468749995</v>
      </c>
      <c r="Q102" s="188">
        <f>23.4393-0.0000004*J102</f>
        <v>23.435497224999999</v>
      </c>
      <c r="R102" s="188">
        <f>-0.000319*SIN(RADIANS(O102))-0.000024*SIN((RADIANS(2*P102)))</f>
        <v>1.1668967270040724E-4</v>
      </c>
      <c r="S102" s="188">
        <f>N102+R102*COS(RADIANS(Q102))</f>
        <v>17.925422532357235</v>
      </c>
      <c r="T102" s="188">
        <f>S102-'Data Entry-V'!$F$9/15</f>
        <v>29.556533643468349</v>
      </c>
      <c r="U102" s="188">
        <f>IF(T102&lt;0,T102+24,IF(T102&gt;24,T102-24,T102))</f>
        <v>5.5565336434683488</v>
      </c>
      <c r="V102" s="188">
        <f>U102-B102</f>
        <v>1.2524336434683487</v>
      </c>
      <c r="W102" s="188">
        <f>V102*15</f>
        <v>18.786504652025229</v>
      </c>
      <c r="X102" s="188">
        <f>IF(W102&lt;0,W102+360,W102)</f>
        <v>18.786504652025229</v>
      </c>
      <c r="Y102" s="188">
        <f>-SIN(RADIANS(X102))</f>
        <v>-0.32204271417756042</v>
      </c>
      <c r="Z102" s="188">
        <f>TAN(RADIANS(C102))*COS(RADIANS('Data Entry-V'!$F$8))-SIN(RADIANS('Data Entry-V'!$F$8))*COS(RADIANS(X102))</f>
        <v>1.5314529815085538</v>
      </c>
      <c r="AA102" s="188">
        <f>DEGREES(ATAN2(Z102,Y102))</f>
        <v>-11.875458084992299</v>
      </c>
      <c r="AB102" s="126">
        <f>IF(AA102&lt;0,AA102+360,AA102)</f>
        <v>348.12454191500768</v>
      </c>
      <c r="AC102" s="126">
        <f>DEGREES(ASIN((SIN(RADIANS('Data Entry-V'!$F$8))*SIN(RADIANS(C102)))+(COS(RADIANS('Data Entry-V'!$F$8))*COS(RADIANS(C102))*COS(RADIANS((U102-B102)*15)))))</f>
        <v>1.3096425953179616</v>
      </c>
      <c r="AD102" s="188">
        <f>1/(COS((4*ATAN(1))/2-(AC102*(4*ATAN(1))/180)))</f>
        <v>43.752982096879201</v>
      </c>
      <c r="AE102" s="188" t="str">
        <f>IF(AC102&gt;10,AD102-((AD102-1)*(0.0018161+(AD102-1)*(0.002875+(AD102-1)*0.0008083))),"")</f>
        <v/>
      </c>
      <c r="AF102" s="87"/>
      <c r="AG102" s="87"/>
      <c r="AH102" s="87"/>
      <c r="AI102" s="87"/>
    </row>
    <row r="103" spans="1:35">
      <c r="A103" s="42" t="s">
        <v>170</v>
      </c>
      <c r="B103" s="187">
        <v>6.3140999999999998</v>
      </c>
      <c r="C103" s="187">
        <v>69.319800000000001</v>
      </c>
      <c r="D103" s="172">
        <v>4.79</v>
      </c>
      <c r="E103" s="172">
        <v>0.03</v>
      </c>
      <c r="F103" s="172">
        <v>-0.01</v>
      </c>
      <c r="G103" s="188">
        <f>IF($AH$3&gt;0.5,($AH$2+2415019)+((((HOUR($AH$3)*60)+MINUTE($AH$3))/1440+DAY($AH$2))-0.5)-DAY($AH$2),($AH$2+2415019)+((((HOUR($AH$3)*60)+MINUTE($AH$3))/1440+DAY($AH$2))-1.5)-DAY($AH$2)+1)</f>
        <v>2461051.9375</v>
      </c>
      <c r="H103" s="188">
        <f>IF((G103-ROUNDDOWN(G103,0))&lt;0.5,ROUNDDOWN(G103,0)-0.5,ROUNDDOWN(G103,0)+0.5)</f>
        <v>2461051.5</v>
      </c>
      <c r="I103" s="188">
        <f>$AH$3*24</f>
        <v>10.5</v>
      </c>
      <c r="J103" s="188">
        <f>G103-2451545</f>
        <v>9506.9375</v>
      </c>
      <c r="K103" s="188">
        <f>G103-2451545</f>
        <v>9506.9375</v>
      </c>
      <c r="L103" s="188">
        <f>AVERAGE(H103-2451545)/36525</f>
        <v>0.26027378507871324</v>
      </c>
      <c r="M103" s="188">
        <f>6.697374558+(0.065707485828*K103)+(1.0027379093*I103)+(0.0854103*L103)+(0.000025862*L103*L103)</f>
        <v>641.92531546860243</v>
      </c>
      <c r="N103" s="188">
        <f>M103-24*(ROUNDDOWN(M103/24,0))</f>
        <v>17.925315468602435</v>
      </c>
      <c r="O103" s="188">
        <f>125.04-0.052954*J103</f>
        <v>-378.39036837499998</v>
      </c>
      <c r="P103" s="188">
        <f>280.47+0.98565*J103</f>
        <v>9650.9829468749995</v>
      </c>
      <c r="Q103" s="188">
        <f>23.4393-0.0000004*J103</f>
        <v>23.435497224999999</v>
      </c>
      <c r="R103" s="188">
        <f>-0.000319*SIN(RADIANS(O103))-0.000024*SIN((RADIANS(2*P103)))</f>
        <v>1.1668967270040724E-4</v>
      </c>
      <c r="S103" s="188">
        <f>N103+R103*COS(RADIANS(Q103))</f>
        <v>17.925422532357235</v>
      </c>
      <c r="T103" s="188">
        <f>S103-'Data Entry-V'!$F$9/15</f>
        <v>29.556533643468349</v>
      </c>
      <c r="U103" s="188">
        <f>IF(T103&lt;0,T103+24,IF(T103&gt;24,T103-24,T103))</f>
        <v>5.5565336434683488</v>
      </c>
      <c r="V103" s="188">
        <f>U103-B103</f>
        <v>-0.75756635653165105</v>
      </c>
      <c r="W103" s="188">
        <f>V103*15</f>
        <v>-11.363495347974766</v>
      </c>
      <c r="X103" s="188">
        <f>IF(W103&lt;0,W103+360,W103)</f>
        <v>348.63650465202522</v>
      </c>
      <c r="Y103" s="188">
        <f>-SIN(RADIANS(X103))</f>
        <v>0.19703274368862422</v>
      </c>
      <c r="Z103" s="188">
        <f>TAN(RADIANS(C103))*COS(RADIANS('Data Entry-V'!$F$8))-SIN(RADIANS('Data Entry-V'!$F$8))*COS(RADIANS(X103))</f>
        <v>2.7081047025749436</v>
      </c>
      <c r="AA103" s="188">
        <f>DEGREES(ATAN2(Z103,Y103))</f>
        <v>4.1613191045570632</v>
      </c>
      <c r="AB103" s="126">
        <f>IF(AA103&lt;0,AA103+360,AA103)</f>
        <v>4.1613191045570632</v>
      </c>
      <c r="AC103" s="126">
        <f>DEGREES(ASIN((SIN(RADIANS('Data Entry-V'!$F$8))*SIN(RADIANS(C103)))+(COS(RADIANS('Data Entry-V'!$F$8))*COS(RADIANS(C103))*COS(RADIANS((U103-B103)*15)))))</f>
        <v>-16.483932652408718</v>
      </c>
      <c r="AD103" s="188">
        <f>1/(COS((4*ATAN(1))/2-(AC103*(4*ATAN(1))/180)))</f>
        <v>-3.5242731233149858</v>
      </c>
      <c r="AE103" s="188" t="str">
        <f>IF(AC103&gt;10,AD103-((AD103-1)*(0.0018161+(AD103-1)*(0.002875+(AD103-1)*0.0008083))),"")</f>
        <v/>
      </c>
      <c r="AF103" s="87"/>
      <c r="AG103" s="87"/>
      <c r="AH103" s="87"/>
      <c r="AI103" s="87"/>
    </row>
    <row r="104" spans="1:35">
      <c r="A104" s="42" t="s">
        <v>171</v>
      </c>
      <c r="B104" s="187">
        <v>6.3270999999999997</v>
      </c>
      <c r="C104" s="187">
        <v>59.111199999999997</v>
      </c>
      <c r="D104" s="172">
        <v>4.47</v>
      </c>
      <c r="E104" s="172">
        <v>0.01</v>
      </c>
      <c r="F104" s="172">
        <v>0.03</v>
      </c>
      <c r="G104" s="188">
        <f>IF($AH$3&gt;0.5,($AH$2+2415019)+((((HOUR($AH$3)*60)+MINUTE($AH$3))/1440+DAY($AH$2))-0.5)-DAY($AH$2),($AH$2+2415019)+((((HOUR($AH$3)*60)+MINUTE($AH$3))/1440+DAY($AH$2))-1.5)-DAY($AH$2)+1)</f>
        <v>2461051.9375</v>
      </c>
      <c r="H104" s="188">
        <f>IF((G104-ROUNDDOWN(G104,0))&lt;0.5,ROUNDDOWN(G104,0)-0.5,ROUNDDOWN(G104,0)+0.5)</f>
        <v>2461051.5</v>
      </c>
      <c r="I104" s="188">
        <f>$AH$3*24</f>
        <v>10.5</v>
      </c>
      <c r="J104" s="188">
        <f>G104-2451545</f>
        <v>9506.9375</v>
      </c>
      <c r="K104" s="188">
        <f>G104-2451545</f>
        <v>9506.9375</v>
      </c>
      <c r="L104" s="188">
        <f>AVERAGE(H104-2451545)/36525</f>
        <v>0.26027378507871324</v>
      </c>
      <c r="M104" s="188">
        <f>6.697374558+(0.065707485828*K104)+(1.0027379093*I104)+(0.0854103*L104)+(0.000025862*L104*L104)</f>
        <v>641.92531546860243</v>
      </c>
      <c r="N104" s="188">
        <f>M104-24*(ROUNDDOWN(M104/24,0))</f>
        <v>17.925315468602435</v>
      </c>
      <c r="O104" s="188">
        <f>125.04-0.052954*J104</f>
        <v>-378.39036837499998</v>
      </c>
      <c r="P104" s="188">
        <f>280.47+0.98565*J104</f>
        <v>9650.9829468749995</v>
      </c>
      <c r="Q104" s="188">
        <f>23.4393-0.0000004*J104</f>
        <v>23.435497224999999</v>
      </c>
      <c r="R104" s="188">
        <f>-0.000319*SIN(RADIANS(O104))-0.000024*SIN((RADIANS(2*P104)))</f>
        <v>1.1668967270040724E-4</v>
      </c>
      <c r="S104" s="188">
        <f>N104+R104*COS(RADIANS(Q104))</f>
        <v>17.925422532357235</v>
      </c>
      <c r="T104" s="188">
        <f>S104-'Data Entry-V'!$F$9/15</f>
        <v>29.556533643468349</v>
      </c>
      <c r="U104" s="188">
        <f>IF(T104&lt;0,T104+24,IF(T104&gt;24,T104-24,T104))</f>
        <v>5.5565336434683488</v>
      </c>
      <c r="V104" s="188">
        <f>U104-B104</f>
        <v>-0.77056635653165095</v>
      </c>
      <c r="W104" s="188">
        <f>V104*15</f>
        <v>-11.558495347974764</v>
      </c>
      <c r="X104" s="188">
        <f>IF(W104&lt;0,W104+360,W104)</f>
        <v>348.44150465202523</v>
      </c>
      <c r="Y104" s="188">
        <f>-SIN(RADIANS(X104))</f>
        <v>0.20036827116077766</v>
      </c>
      <c r="Z104" s="188">
        <f>TAN(RADIANS(C104))*COS(RADIANS('Data Entry-V'!$F$8))-SIN(RADIANS('Data Entry-V'!$F$8))*COS(RADIANS(X104))</f>
        <v>1.9252676445787387</v>
      </c>
      <c r="AA104" s="188">
        <f>DEGREES(ATAN2(Z104,Y104))</f>
        <v>5.9415507136517949</v>
      </c>
      <c r="AB104" s="126">
        <f>IF(AA104&lt;0,AA104+360,AA104)</f>
        <v>5.9415507136517949</v>
      </c>
      <c r="AC104" s="126">
        <f>DEGREES(ASIN((SIN(RADIANS('Data Entry-V'!$F$8))*SIN(RADIANS(C104)))+(COS(RADIANS('Data Entry-V'!$F$8))*COS(RADIANS(C104))*COS(RADIANS((U104-B104)*15)))))</f>
        <v>-6.4247575926909404</v>
      </c>
      <c r="AD104" s="188">
        <f>1/(COS((4*ATAN(1))/2-(AC104*(4*ATAN(1))/180)))</f>
        <v>-8.9366838307874108</v>
      </c>
      <c r="AE104" s="188" t="str">
        <f>IF(AC104&gt;10,AD104-((AD104-1)*(0.0018161+(AD104-1)*(0.002875+(AD104-1)*0.0008083))),"")</f>
        <v/>
      </c>
      <c r="AF104" s="87"/>
      <c r="AG104" s="87"/>
      <c r="AH104" s="87"/>
      <c r="AI104" s="87"/>
    </row>
    <row r="105" spans="1:35">
      <c r="A105" s="42" t="s">
        <v>172</v>
      </c>
      <c r="B105" s="187">
        <v>6.9603000000000002</v>
      </c>
      <c r="C105" s="187">
        <v>45.940800000000003</v>
      </c>
      <c r="D105" s="172">
        <v>4.9000000000000004</v>
      </c>
      <c r="E105" s="172">
        <v>0.04</v>
      </c>
      <c r="F105" s="172">
        <v>0.03</v>
      </c>
      <c r="G105" s="188">
        <f>IF($AH$3&gt;0.5,($AH$2+2415019)+((((HOUR($AH$3)*60)+MINUTE($AH$3))/1440+DAY($AH$2))-0.5)-DAY($AH$2),($AH$2+2415019)+((((HOUR($AH$3)*60)+MINUTE($AH$3))/1440+DAY($AH$2))-1.5)-DAY($AH$2)+1)</f>
        <v>2461051.9375</v>
      </c>
      <c r="H105" s="188">
        <f>IF((G105-ROUNDDOWN(G105,0))&lt;0.5,ROUNDDOWN(G105,0)-0.5,ROUNDDOWN(G105,0)+0.5)</f>
        <v>2461051.5</v>
      </c>
      <c r="I105" s="188">
        <f>$AH$3*24</f>
        <v>10.5</v>
      </c>
      <c r="J105" s="188">
        <f>G105-2451545</f>
        <v>9506.9375</v>
      </c>
      <c r="K105" s="188">
        <f>G105-2451545</f>
        <v>9506.9375</v>
      </c>
      <c r="L105" s="188">
        <f>AVERAGE(H105-2451545)/36525</f>
        <v>0.26027378507871324</v>
      </c>
      <c r="M105" s="188">
        <f>6.697374558+(0.065707485828*K105)+(1.0027379093*I105)+(0.0854103*L105)+(0.000025862*L105*L105)</f>
        <v>641.92531546860243</v>
      </c>
      <c r="N105" s="188">
        <f>M105-24*(ROUNDDOWN(M105/24,0))</f>
        <v>17.925315468602435</v>
      </c>
      <c r="O105" s="188">
        <f>125.04-0.052954*J105</f>
        <v>-378.39036837499998</v>
      </c>
      <c r="P105" s="188">
        <f>280.47+0.98565*J105</f>
        <v>9650.9829468749995</v>
      </c>
      <c r="Q105" s="188">
        <f>23.4393-0.0000004*J105</f>
        <v>23.435497224999999</v>
      </c>
      <c r="R105" s="188">
        <f>-0.000319*SIN(RADIANS(O105))-0.000024*SIN((RADIANS(2*P105)))</f>
        <v>1.1668967270040724E-4</v>
      </c>
      <c r="S105" s="188">
        <f>N105+R105*COS(RADIANS(Q105))</f>
        <v>17.925422532357235</v>
      </c>
      <c r="T105" s="188">
        <f>S105-'Data Entry-V'!$F$9/15</f>
        <v>29.556533643468349</v>
      </c>
      <c r="U105" s="188">
        <f>IF(T105&lt;0,T105+24,IF(T105&gt;24,T105-24,T105))</f>
        <v>5.5565336434683488</v>
      </c>
      <c r="V105" s="188">
        <f>U105-B105</f>
        <v>-1.4037663565316514</v>
      </c>
      <c r="W105" s="188">
        <f>V105*15</f>
        <v>-21.056495347974771</v>
      </c>
      <c r="X105" s="188">
        <f>IF(W105&lt;0,W105+360,W105)</f>
        <v>338.94350465202524</v>
      </c>
      <c r="Y105" s="188">
        <f>-SIN(RADIANS(X105))</f>
        <v>0.35928831333683192</v>
      </c>
      <c r="Z105" s="188">
        <f>TAN(RADIANS(C105))*COS(RADIANS('Data Entry-V'!$F$8))-SIN(RADIANS('Data Entry-V'!$F$8))*COS(RADIANS(X105))</f>
        <v>1.3865680505569888</v>
      </c>
      <c r="AA105" s="188">
        <f>DEGREES(ATAN2(Z105,Y105))</f>
        <v>14.527009371849269</v>
      </c>
      <c r="AB105" s="126">
        <f>IF(AA105&lt;0,AA105+360,AA105)</f>
        <v>14.527009371849269</v>
      </c>
      <c r="AC105" s="126">
        <f>DEGREES(ASIN((SIN(RADIANS('Data Entry-V'!$F$8))*SIN(RADIANS(C105)))+(COS(RADIANS('Data Entry-V'!$F$8))*COS(RADIANS(C105))*COS(RADIANS((U105-B105)*15)))))</f>
        <v>5.0839863522878046</v>
      </c>
      <c r="AD105" s="188">
        <f>1/(COS((4*ATAN(1))/2-(AC105*(4*ATAN(1))/180)))</f>
        <v>11.284655444074241</v>
      </c>
      <c r="AE105" s="188" t="str">
        <f>IF(AC105&gt;10,AD105-((AD105-1)*(0.0018161+(AD105-1)*(0.002875+(AD105-1)*0.0008083))),"")</f>
        <v/>
      </c>
      <c r="AF105" s="87"/>
      <c r="AG105" s="87"/>
      <c r="AH105" s="87"/>
      <c r="AI105" s="87"/>
    </row>
    <row r="106" spans="1:35">
      <c r="A106" s="42" t="s">
        <v>173</v>
      </c>
      <c r="B106" s="187">
        <v>7.3089000000000004</v>
      </c>
      <c r="C106" s="187">
        <v>49.464799999999997</v>
      </c>
      <c r="D106" s="172">
        <v>5.04</v>
      </c>
      <c r="E106" s="172">
        <v>0.08</v>
      </c>
      <c r="F106" s="172">
        <v>0.09</v>
      </c>
      <c r="G106" s="188">
        <f>IF($AH$3&gt;0.5,($AH$2+2415019)+((((HOUR($AH$3)*60)+MINUTE($AH$3))/1440+DAY($AH$2))-0.5)-DAY($AH$2),($AH$2+2415019)+((((HOUR($AH$3)*60)+MINUTE($AH$3))/1440+DAY($AH$2))-1.5)-DAY($AH$2)+1)</f>
        <v>2461051.9375</v>
      </c>
      <c r="H106" s="188">
        <f>IF((G106-ROUNDDOWN(G106,0))&lt;0.5,ROUNDDOWN(G106,0)-0.5,ROUNDDOWN(G106,0)+0.5)</f>
        <v>2461051.5</v>
      </c>
      <c r="I106" s="188">
        <f>$AH$3*24</f>
        <v>10.5</v>
      </c>
      <c r="J106" s="188">
        <f>G106-2451545</f>
        <v>9506.9375</v>
      </c>
      <c r="K106" s="188">
        <f>G106-2451545</f>
        <v>9506.9375</v>
      </c>
      <c r="L106" s="188">
        <f>AVERAGE(H106-2451545)/36525</f>
        <v>0.26027378507871324</v>
      </c>
      <c r="M106" s="188">
        <f>6.697374558+(0.065707485828*K106)+(1.0027379093*I106)+(0.0854103*L106)+(0.000025862*L106*L106)</f>
        <v>641.92531546860243</v>
      </c>
      <c r="N106" s="188">
        <f>M106-24*(ROUNDDOWN(M106/24,0))</f>
        <v>17.925315468602435</v>
      </c>
      <c r="O106" s="188">
        <f>125.04-0.052954*J106</f>
        <v>-378.39036837499998</v>
      </c>
      <c r="P106" s="188">
        <f>280.47+0.98565*J106</f>
        <v>9650.9829468749995</v>
      </c>
      <c r="Q106" s="188">
        <f>23.4393-0.0000004*J106</f>
        <v>23.435497224999999</v>
      </c>
      <c r="R106" s="188">
        <f>-0.000319*SIN(RADIANS(O106))-0.000024*SIN((RADIANS(2*P106)))</f>
        <v>1.1668967270040724E-4</v>
      </c>
      <c r="S106" s="188">
        <f>N106+R106*COS(RADIANS(Q106))</f>
        <v>17.925422532357235</v>
      </c>
      <c r="T106" s="188">
        <f>S106-'Data Entry-V'!$F$9/15</f>
        <v>29.556533643468349</v>
      </c>
      <c r="U106" s="188">
        <f>IF(T106&lt;0,T106+24,IF(T106&gt;24,T106-24,T106))</f>
        <v>5.5565336434683488</v>
      </c>
      <c r="V106" s="188">
        <f>U106-B106</f>
        <v>-1.7523663565316516</v>
      </c>
      <c r="W106" s="188">
        <f>V106*15</f>
        <v>-26.285495347974773</v>
      </c>
      <c r="X106" s="188">
        <f>IF(W106&lt;0,W106+360,W106)</f>
        <v>333.7145046520252</v>
      </c>
      <c r="Y106" s="188">
        <f>-SIN(RADIANS(X106))</f>
        <v>0.44284422756181807</v>
      </c>
      <c r="Z106" s="188">
        <f>TAN(RADIANS(C106))*COS(RADIANS('Data Entry-V'!$F$8))-SIN(RADIANS('Data Entry-V'!$F$8))*COS(RADIANS(X106))</f>
        <v>1.4734640923552584</v>
      </c>
      <c r="AA106" s="188">
        <f>DEGREES(ATAN2(Z106,Y106))</f>
        <v>16.727957794267159</v>
      </c>
      <c r="AB106" s="126">
        <f>IF(AA106&lt;0,AA106+360,AA106)</f>
        <v>16.727957794267159</v>
      </c>
      <c r="AC106" s="126">
        <f>DEGREES(ASIN((SIN(RADIANS('Data Entry-V'!$F$8))*SIN(RADIANS(C106)))+(COS(RADIANS('Data Entry-V'!$F$8))*COS(RADIANS(C106))*COS(RADIANS((U106-B106)*15)))))</f>
        <v>0.61751022721461091</v>
      </c>
      <c r="AD106" s="188">
        <f>1/(COS((4*ATAN(1))/2-(AC106*(4*ATAN(1))/180)))</f>
        <v>92.78694702470338</v>
      </c>
      <c r="AE106" s="188" t="str">
        <f>IF(AC106&gt;10,AD106-((AD106-1)*(0.0018161+(AD106-1)*(0.002875+(AD106-1)*0.0008083))),"")</f>
        <v/>
      </c>
      <c r="AF106" s="87"/>
      <c r="AG106" s="87"/>
      <c r="AH106" s="87"/>
      <c r="AI106" s="87"/>
    </row>
    <row r="107" spans="1:35">
      <c r="A107" s="42" t="s">
        <v>174</v>
      </c>
      <c r="B107" s="187">
        <v>7.4451999999999998</v>
      </c>
      <c r="C107" s="187">
        <v>49.211199999999998</v>
      </c>
      <c r="D107" s="172">
        <v>4.63</v>
      </c>
      <c r="E107" s="172">
        <v>-0.02</v>
      </c>
      <c r="F107" s="172">
        <v>-0.02</v>
      </c>
      <c r="G107" s="188">
        <f>IF($AH$3&gt;0.5,($AH$2+2415019)+((((HOUR($AH$3)*60)+MINUTE($AH$3))/1440+DAY($AH$2))-0.5)-DAY($AH$2),($AH$2+2415019)+((((HOUR($AH$3)*60)+MINUTE($AH$3))/1440+DAY($AH$2))-1.5)-DAY($AH$2)+1)</f>
        <v>2461051.9375</v>
      </c>
      <c r="H107" s="188">
        <f>IF((G107-ROUNDDOWN(G107,0))&lt;0.5,ROUNDDOWN(G107,0)-0.5,ROUNDDOWN(G107,0)+0.5)</f>
        <v>2461051.5</v>
      </c>
      <c r="I107" s="188">
        <f>$AH$3*24</f>
        <v>10.5</v>
      </c>
      <c r="J107" s="188">
        <f>G107-2451545</f>
        <v>9506.9375</v>
      </c>
      <c r="K107" s="188">
        <f>G107-2451545</f>
        <v>9506.9375</v>
      </c>
      <c r="L107" s="188">
        <f>AVERAGE(H107-2451545)/36525</f>
        <v>0.26027378507871324</v>
      </c>
      <c r="M107" s="188">
        <f>6.697374558+(0.065707485828*K107)+(1.0027379093*I107)+(0.0854103*L107)+(0.000025862*L107*L107)</f>
        <v>641.92531546860243</v>
      </c>
      <c r="N107" s="188">
        <f>M107-24*(ROUNDDOWN(M107/24,0))</f>
        <v>17.925315468602435</v>
      </c>
      <c r="O107" s="188">
        <f>125.04-0.052954*J107</f>
        <v>-378.39036837499998</v>
      </c>
      <c r="P107" s="188">
        <f>280.47+0.98565*J107</f>
        <v>9650.9829468749995</v>
      </c>
      <c r="Q107" s="188">
        <f>23.4393-0.0000004*J107</f>
        <v>23.435497224999999</v>
      </c>
      <c r="R107" s="188">
        <f>-0.000319*SIN(RADIANS(O107))-0.000024*SIN((RADIANS(2*P107)))</f>
        <v>1.1668967270040724E-4</v>
      </c>
      <c r="S107" s="188">
        <f>N107+R107*COS(RADIANS(Q107))</f>
        <v>17.925422532357235</v>
      </c>
      <c r="T107" s="188">
        <f>S107-'Data Entry-V'!$F$9/15</f>
        <v>29.556533643468349</v>
      </c>
      <c r="U107" s="188">
        <f>IF(T107&lt;0,T107+24,IF(T107&gt;24,T107-24,T107))</f>
        <v>5.5565336434683488</v>
      </c>
      <c r="V107" s="188">
        <f>U107-B107</f>
        <v>-1.888666356531651</v>
      </c>
      <c r="W107" s="188">
        <f>V107*15</f>
        <v>-28.329995347974766</v>
      </c>
      <c r="X107" s="188">
        <f>IF(W107&lt;0,W107+360,W107)</f>
        <v>331.67000465202523</v>
      </c>
      <c r="Y107" s="188">
        <f>-SIN(RADIANS(X107))</f>
        <v>0.47454908943473156</v>
      </c>
      <c r="Z107" s="188">
        <f>TAN(RADIANS(C107))*COS(RADIANS('Data Entry-V'!$F$8))-SIN(RADIANS('Data Entry-V'!$F$8))*COS(RADIANS(X107))</f>
        <v>1.45530678221454</v>
      </c>
      <c r="AA107" s="188">
        <f>DEGREES(ATAN2(Z107,Y107))</f>
        <v>18.060206107049332</v>
      </c>
      <c r="AB107" s="126">
        <f>IF(AA107&lt;0,AA107+360,AA107)</f>
        <v>18.060206107049332</v>
      </c>
      <c r="AC107" s="126">
        <f>DEGREES(ASIN((SIN(RADIANS('Data Entry-V'!$F$8))*SIN(RADIANS(C107)))+(COS(RADIANS('Data Entry-V'!$F$8))*COS(RADIANS(C107))*COS(RADIANS((U107-B107)*15)))))</f>
        <v>0.36421311115115484</v>
      </c>
      <c r="AD107" s="188">
        <f>1/(COS((4*ATAN(1))/2-(AC107*(4*ATAN(1))/180)))</f>
        <v>157.31494454023877</v>
      </c>
      <c r="AE107" s="188" t="str">
        <f>IF(AC107&gt;10,AD107-((AD107-1)*(0.0018161+(AD107-1)*(0.002875+(AD107-1)*0.0008083))),"")</f>
        <v/>
      </c>
      <c r="AF107" s="87"/>
      <c r="AG107" s="87"/>
      <c r="AH107" s="87"/>
      <c r="AI107" s="87"/>
    </row>
    <row r="108" spans="1:35">
      <c r="A108" s="42" t="s">
        <v>175</v>
      </c>
      <c r="B108" s="187">
        <v>7.7168000000000001</v>
      </c>
      <c r="C108" s="187">
        <v>58.710099999999997</v>
      </c>
      <c r="D108" s="172">
        <v>4.99</v>
      </c>
      <c r="E108" s="172">
        <v>0.08</v>
      </c>
      <c r="F108" s="172">
        <v>0.09</v>
      </c>
      <c r="G108" s="188">
        <f>IF($AH$3&gt;0.5,($AH$2+2415019)+((((HOUR($AH$3)*60)+MINUTE($AH$3))/1440+DAY($AH$2))-0.5)-DAY($AH$2),($AH$2+2415019)+((((HOUR($AH$3)*60)+MINUTE($AH$3))/1440+DAY($AH$2))-1.5)-DAY($AH$2)+1)</f>
        <v>2461051.9375</v>
      </c>
      <c r="H108" s="188">
        <f>IF((G108-ROUNDDOWN(G108,0))&lt;0.5,ROUNDDOWN(G108,0)-0.5,ROUNDDOWN(G108,0)+0.5)</f>
        <v>2461051.5</v>
      </c>
      <c r="I108" s="188">
        <f>$AH$3*24</f>
        <v>10.5</v>
      </c>
      <c r="J108" s="188">
        <f>G108-2451545</f>
        <v>9506.9375</v>
      </c>
      <c r="K108" s="188">
        <f>G108-2451545</f>
        <v>9506.9375</v>
      </c>
      <c r="L108" s="188">
        <f>AVERAGE(H108-2451545)/36525</f>
        <v>0.26027378507871324</v>
      </c>
      <c r="M108" s="188">
        <f>6.697374558+(0.065707485828*K108)+(1.0027379093*I108)+(0.0854103*L108)+(0.000025862*L108*L108)</f>
        <v>641.92531546860243</v>
      </c>
      <c r="N108" s="188">
        <f>M108-24*(ROUNDDOWN(M108/24,0))</f>
        <v>17.925315468602435</v>
      </c>
      <c r="O108" s="188">
        <f>125.04-0.052954*J108</f>
        <v>-378.39036837499998</v>
      </c>
      <c r="P108" s="188">
        <f>280.47+0.98565*J108</f>
        <v>9650.9829468749995</v>
      </c>
      <c r="Q108" s="188">
        <f>23.4393-0.0000004*J108</f>
        <v>23.435497224999999</v>
      </c>
      <c r="R108" s="188">
        <f>-0.000319*SIN(RADIANS(O108))-0.000024*SIN((RADIANS(2*P108)))</f>
        <v>1.1668967270040724E-4</v>
      </c>
      <c r="S108" s="188">
        <f>N108+R108*COS(RADIANS(Q108))</f>
        <v>17.925422532357235</v>
      </c>
      <c r="T108" s="188">
        <f>S108-'Data Entry-V'!$F$9/15</f>
        <v>29.556533643468349</v>
      </c>
      <c r="U108" s="188">
        <f>IF(T108&lt;0,T108+24,IF(T108&gt;24,T108-24,T108))</f>
        <v>5.5565336434683488</v>
      </c>
      <c r="V108" s="188">
        <f>U108-B108</f>
        <v>-2.1602663565316513</v>
      </c>
      <c r="W108" s="188">
        <f>V108*15</f>
        <v>-32.403995347974771</v>
      </c>
      <c r="X108" s="188">
        <f>IF(W108&lt;0,W108+360,W108)</f>
        <v>327.59600465202521</v>
      </c>
      <c r="Y108" s="188">
        <f>-SIN(RADIANS(X108))</f>
        <v>0.5358856703316236</v>
      </c>
      <c r="Z108" s="188">
        <f>TAN(RADIANS(C108))*COS(RADIANS('Data Entry-V'!$F$8))-SIN(RADIANS('Data Entry-V'!$F$8))*COS(RADIANS(X108))</f>
        <v>1.823064436398087</v>
      </c>
      <c r="AA108" s="188">
        <f>DEGREES(ATAN2(Z108,Y108))</f>
        <v>16.380580022840302</v>
      </c>
      <c r="AB108" s="126">
        <f>IF(AA108&lt;0,AA108+360,AA108)</f>
        <v>16.380580022840302</v>
      </c>
      <c r="AC108" s="126">
        <f>DEGREES(ASIN((SIN(RADIANS('Data Entry-V'!$F$8))*SIN(RADIANS(C108)))+(COS(RADIANS('Data Entry-V'!$F$8))*COS(RADIANS(C108))*COS(RADIANS((U108-B108)*15)))))</f>
        <v>-9.2839692185147094</v>
      </c>
      <c r="AD108" s="188">
        <f>1/(COS((4*ATAN(1))/2-(AC108*(4*ATAN(1))/180)))</f>
        <v>-6.198563448788426</v>
      </c>
      <c r="AE108" s="188" t="str">
        <f>IF(AC108&gt;10,AD108-((AD108-1)*(0.0018161+(AD108-1)*(0.002875+(AD108-1)*0.0008083))),"")</f>
        <v/>
      </c>
      <c r="AF108" s="87"/>
      <c r="AG108" s="87"/>
      <c r="AH108" s="87"/>
      <c r="AI108" s="87"/>
    </row>
    <row r="109" spans="1:35">
      <c r="A109" s="42" t="s">
        <v>176</v>
      </c>
      <c r="B109" s="187">
        <v>8.1409000000000002</v>
      </c>
      <c r="C109" s="187">
        <v>51.506700000000002</v>
      </c>
      <c r="D109" s="172">
        <v>4.84</v>
      </c>
      <c r="E109" s="172">
        <v>0.05</v>
      </c>
      <c r="F109" s="172">
        <v>0</v>
      </c>
      <c r="G109" s="188">
        <f>IF($AH$3&gt;0.5,($AH$2+2415019)+((((HOUR($AH$3)*60)+MINUTE($AH$3))/1440+DAY($AH$2))-0.5)-DAY($AH$2),($AH$2+2415019)+((((HOUR($AH$3)*60)+MINUTE($AH$3))/1440+DAY($AH$2))-1.5)-DAY($AH$2)+1)</f>
        <v>2461051.9375</v>
      </c>
      <c r="H109" s="188">
        <f>IF((G109-ROUNDDOWN(G109,0))&lt;0.5,ROUNDDOWN(G109,0)-0.5,ROUNDDOWN(G109,0)+0.5)</f>
        <v>2461051.5</v>
      </c>
      <c r="I109" s="188">
        <f>$AH$3*24</f>
        <v>10.5</v>
      </c>
      <c r="J109" s="188">
        <f>G109-2451545</f>
        <v>9506.9375</v>
      </c>
      <c r="K109" s="188">
        <f>G109-2451545</f>
        <v>9506.9375</v>
      </c>
      <c r="L109" s="188">
        <f>AVERAGE(H109-2451545)/36525</f>
        <v>0.26027378507871324</v>
      </c>
      <c r="M109" s="188">
        <f>6.697374558+(0.065707485828*K109)+(1.0027379093*I109)+(0.0854103*L109)+(0.000025862*L109*L109)</f>
        <v>641.92531546860243</v>
      </c>
      <c r="N109" s="188">
        <f>M109-24*(ROUNDDOWN(M109/24,0))</f>
        <v>17.925315468602435</v>
      </c>
      <c r="O109" s="188">
        <f>125.04-0.052954*J109</f>
        <v>-378.39036837499998</v>
      </c>
      <c r="P109" s="188">
        <f>280.47+0.98565*J109</f>
        <v>9650.9829468749995</v>
      </c>
      <c r="Q109" s="188">
        <f>23.4393-0.0000004*J109</f>
        <v>23.435497224999999</v>
      </c>
      <c r="R109" s="188">
        <f>-0.000319*SIN(RADIANS(O109))-0.000024*SIN((RADIANS(2*P109)))</f>
        <v>1.1668967270040724E-4</v>
      </c>
      <c r="S109" s="188">
        <f>N109+R109*COS(RADIANS(Q109))</f>
        <v>17.925422532357235</v>
      </c>
      <c r="T109" s="188">
        <f>S109-'Data Entry-V'!$F$9/15</f>
        <v>29.556533643468349</v>
      </c>
      <c r="U109" s="188">
        <f>IF(T109&lt;0,T109+24,IF(T109&gt;24,T109-24,T109))</f>
        <v>5.5565336434683488</v>
      </c>
      <c r="V109" s="188">
        <f>U109-B109</f>
        <v>-2.5843663565316515</v>
      </c>
      <c r="W109" s="188">
        <f>V109*15</f>
        <v>-38.76549534797477</v>
      </c>
      <c r="X109" s="188">
        <f>IF(W109&lt;0,W109+360,W109)</f>
        <v>321.23450465202524</v>
      </c>
      <c r="Y109" s="188">
        <f>-SIN(RADIANS(X109))</f>
        <v>0.62613436502628994</v>
      </c>
      <c r="Z109" s="188">
        <f>TAN(RADIANS(C109))*COS(RADIANS('Data Entry-V'!$F$8))-SIN(RADIANS('Data Entry-V'!$F$8))*COS(RADIANS(X109))</f>
        <v>1.4738915001660837</v>
      </c>
      <c r="AA109" s="188">
        <f>DEGREES(ATAN2(Z109,Y109))</f>
        <v>23.016616999030212</v>
      </c>
      <c r="AB109" s="126">
        <f>IF(AA109&lt;0,AA109+360,AA109)</f>
        <v>23.016616999030212</v>
      </c>
      <c r="AC109" s="126">
        <f>DEGREES(ASIN((SIN(RADIANS('Data Entry-V'!$F$8))*SIN(RADIANS(C109)))+(COS(RADIANS('Data Entry-V'!$F$8))*COS(RADIANS(C109))*COS(RADIANS((U109-B109)*15)))))</f>
        <v>-4.6329956810302644</v>
      </c>
      <c r="AD109" s="188">
        <f>1/(COS((4*ATAN(1))/2-(AC109*(4*ATAN(1))/180)))</f>
        <v>-12.380383936709082</v>
      </c>
      <c r="AE109" s="188" t="str">
        <f>IF(AC109&gt;10,AD109-((AD109-1)*(0.0018161+(AD109-1)*(0.002875+(AD109-1)*0.0008083))),"")</f>
        <v/>
      </c>
      <c r="AF109" s="87"/>
      <c r="AG109" s="87"/>
      <c r="AH109" s="87"/>
      <c r="AI109" s="87"/>
    </row>
    <row r="110" spans="1:35">
      <c r="A110" s="42" t="s">
        <v>177</v>
      </c>
      <c r="B110" s="187">
        <v>9.5803999999999991</v>
      </c>
      <c r="C110" s="187">
        <v>52.051299999999998</v>
      </c>
      <c r="D110" s="172">
        <v>4.5</v>
      </c>
      <c r="E110" s="172">
        <v>0</v>
      </c>
      <c r="F110" s="172">
        <v>0.04</v>
      </c>
      <c r="G110" s="188">
        <f>IF($AH$3&gt;0.5,($AH$2+2415019)+((((HOUR($AH$3)*60)+MINUTE($AH$3))/1440+DAY($AH$2))-0.5)-DAY($AH$2),($AH$2+2415019)+((((HOUR($AH$3)*60)+MINUTE($AH$3))/1440+DAY($AH$2))-1.5)-DAY($AH$2)+1)</f>
        <v>2461051.9375</v>
      </c>
      <c r="H110" s="188">
        <f>IF((G110-ROUNDDOWN(G110,0))&lt;0.5,ROUNDDOWN(G110,0)-0.5,ROUNDDOWN(G110,0)+0.5)</f>
        <v>2461051.5</v>
      </c>
      <c r="I110" s="188">
        <f>$AH$3*24</f>
        <v>10.5</v>
      </c>
      <c r="J110" s="188">
        <f>G110-2451545</f>
        <v>9506.9375</v>
      </c>
      <c r="K110" s="188">
        <f>G110-2451545</f>
        <v>9506.9375</v>
      </c>
      <c r="L110" s="188">
        <f>AVERAGE(H110-2451545)/36525</f>
        <v>0.26027378507871324</v>
      </c>
      <c r="M110" s="188">
        <f>6.697374558+(0.065707485828*K110)+(1.0027379093*I110)+(0.0854103*L110)+(0.000025862*L110*L110)</f>
        <v>641.92531546860243</v>
      </c>
      <c r="N110" s="188">
        <f>M110-24*(ROUNDDOWN(M110/24,0))</f>
        <v>17.925315468602435</v>
      </c>
      <c r="O110" s="188">
        <f>125.04-0.052954*J110</f>
        <v>-378.39036837499998</v>
      </c>
      <c r="P110" s="188">
        <f>280.47+0.98565*J110</f>
        <v>9650.9829468749995</v>
      </c>
      <c r="Q110" s="188">
        <f>23.4393-0.0000004*J110</f>
        <v>23.435497224999999</v>
      </c>
      <c r="R110" s="188">
        <f>-0.000319*SIN(RADIANS(O110))-0.000024*SIN((RADIANS(2*P110)))</f>
        <v>1.1668967270040724E-4</v>
      </c>
      <c r="S110" s="188">
        <f>N110+R110*COS(RADIANS(Q110))</f>
        <v>17.925422532357235</v>
      </c>
      <c r="T110" s="188">
        <f>S110-'Data Entry-V'!$F$9/15</f>
        <v>29.556533643468349</v>
      </c>
      <c r="U110" s="188">
        <f>IF(T110&lt;0,T110+24,IF(T110&gt;24,T110-24,T110))</f>
        <v>5.5565336434683488</v>
      </c>
      <c r="V110" s="188">
        <f>U110-B110</f>
        <v>-4.0238663565316504</v>
      </c>
      <c r="W110" s="188">
        <f>V110*15</f>
        <v>-60.357995347974757</v>
      </c>
      <c r="X110" s="188">
        <f>IF(W110&lt;0,W110+360,W110)</f>
        <v>299.64200465202526</v>
      </c>
      <c r="Y110" s="188">
        <f>-SIN(RADIANS(X110))</f>
        <v>0.8691325774725972</v>
      </c>
      <c r="Z110" s="188">
        <f>TAN(RADIANS(C110))*COS(RADIANS('Data Entry-V'!$F$8))-SIN(RADIANS('Data Entry-V'!$F$8))*COS(RADIANS(X110))</f>
        <v>1.3228309422659927</v>
      </c>
      <c r="AA110" s="188">
        <f>DEGREES(ATAN2(Z110,Y110))</f>
        <v>33.30590166930677</v>
      </c>
      <c r="AB110" s="126">
        <f>IF(AA110&lt;0,AA110+360,AA110)</f>
        <v>33.30590166930677</v>
      </c>
      <c r="AC110" s="126">
        <f>DEGREES(ASIN((SIN(RADIANS('Data Entry-V'!$F$8))*SIN(RADIANS(C110)))+(COS(RADIANS('Data Entry-V'!$F$8))*COS(RADIANS(C110))*COS(RADIANS((U110-B110)*15)))))</f>
        <v>-13.256010057697551</v>
      </c>
      <c r="AD110" s="188">
        <f>1/(COS((4*ATAN(1))/2-(AC110*(4*ATAN(1))/180)))</f>
        <v>-4.3610515908938758</v>
      </c>
      <c r="AE110" s="188" t="str">
        <f>IF(AC110&gt;10,AD110-((AD110-1)*(0.0018161+(AD110-1)*(0.002875+(AD110-1)*0.0008083))),"")</f>
        <v/>
      </c>
      <c r="AF110" s="87"/>
      <c r="AG110" s="87"/>
      <c r="AH110" s="87"/>
      <c r="AI110" s="87"/>
    </row>
    <row r="111" spans="1:35">
      <c r="A111" s="42" t="s">
        <v>178</v>
      </c>
      <c r="B111" s="187">
        <v>10.123799999999999</v>
      </c>
      <c r="C111" s="187">
        <v>35.244700000000002</v>
      </c>
      <c r="D111" s="172">
        <v>4.49</v>
      </c>
      <c r="E111" s="172">
        <v>0.19</v>
      </c>
      <c r="F111" s="172">
        <v>7.0000000000000007E-2</v>
      </c>
      <c r="G111" s="188">
        <f>IF($AH$3&gt;0.5,($AH$2+2415019)+((((HOUR($AH$3)*60)+MINUTE($AH$3))/1440+DAY($AH$2))-0.5)-DAY($AH$2),($AH$2+2415019)+((((HOUR($AH$3)*60)+MINUTE($AH$3))/1440+DAY($AH$2))-1.5)-DAY($AH$2)+1)</f>
        <v>2461051.9375</v>
      </c>
      <c r="H111" s="188">
        <f>IF((G111-ROUNDDOWN(G111,0))&lt;0.5,ROUNDDOWN(G111,0)-0.5,ROUNDDOWN(G111,0)+0.5)</f>
        <v>2461051.5</v>
      </c>
      <c r="I111" s="188">
        <f>$AH$3*24</f>
        <v>10.5</v>
      </c>
      <c r="J111" s="188">
        <f>G111-2451545</f>
        <v>9506.9375</v>
      </c>
      <c r="K111" s="188">
        <f>G111-2451545</f>
        <v>9506.9375</v>
      </c>
      <c r="L111" s="188">
        <f>AVERAGE(H111-2451545)/36525</f>
        <v>0.26027378507871324</v>
      </c>
      <c r="M111" s="188">
        <f>6.697374558+(0.065707485828*K111)+(1.0027379093*I111)+(0.0854103*L111)+(0.000025862*L111*L111)</f>
        <v>641.92531546860243</v>
      </c>
      <c r="N111" s="188">
        <f>M111-24*(ROUNDDOWN(M111/24,0))</f>
        <v>17.925315468602435</v>
      </c>
      <c r="O111" s="188">
        <f>125.04-0.052954*J111</f>
        <v>-378.39036837499998</v>
      </c>
      <c r="P111" s="188">
        <f>280.47+0.98565*J111</f>
        <v>9650.9829468749995</v>
      </c>
      <c r="Q111" s="188">
        <f>23.4393-0.0000004*J111</f>
        <v>23.435497224999999</v>
      </c>
      <c r="R111" s="188">
        <f>-0.000319*SIN(RADIANS(O111))-0.000024*SIN((RADIANS(2*P111)))</f>
        <v>1.1668967270040724E-4</v>
      </c>
      <c r="S111" s="188">
        <f>N111+R111*COS(RADIANS(Q111))</f>
        <v>17.925422532357235</v>
      </c>
      <c r="T111" s="188">
        <f>S111-'Data Entry-V'!$F$9/15</f>
        <v>29.556533643468349</v>
      </c>
      <c r="U111" s="188">
        <f>IF(T111&lt;0,T111+24,IF(T111&gt;24,T111-24,T111))</f>
        <v>5.5565336434683488</v>
      </c>
      <c r="V111" s="188">
        <f>U111-B111</f>
        <v>-4.5672663565316505</v>
      </c>
      <c r="W111" s="188">
        <f>V111*15</f>
        <v>-68.508995347974761</v>
      </c>
      <c r="X111" s="188">
        <f>IF(W111&lt;0,W111+360,W111)</f>
        <v>291.49100465202525</v>
      </c>
      <c r="Y111" s="188">
        <f>-SIN(RADIANS(X111))</f>
        <v>0.93047509663576344</v>
      </c>
      <c r="Z111" s="188">
        <f>TAN(RADIANS(C111))*COS(RADIANS('Data Entry-V'!$F$8))-SIN(RADIANS('Data Entry-V'!$F$8))*COS(RADIANS(X111))</f>
        <v>0.78516959182545998</v>
      </c>
      <c r="AA111" s="188">
        <f>DEGREES(ATAN2(Z111,Y111))</f>
        <v>49.841078722660463</v>
      </c>
      <c r="AB111" s="126">
        <f>IF(AA111&lt;0,AA111+360,AA111)</f>
        <v>49.841078722660463</v>
      </c>
      <c r="AC111" s="126">
        <f>DEGREES(ASIN((SIN(RADIANS('Data Entry-V'!$F$8))*SIN(RADIANS(C111)))+(COS(RADIANS('Data Entry-V'!$F$8))*COS(RADIANS(C111))*COS(RADIANS((U111-B111)*15)))))</f>
        <v>-6.1119970799976819</v>
      </c>
      <c r="AD111" s="188">
        <f>1/(COS((4*ATAN(1))/2-(AC111*(4*ATAN(1))/180)))</f>
        <v>-9.3921166645870908</v>
      </c>
      <c r="AE111" s="188" t="str">
        <f>IF(AC111&gt;10,AD111-((AD111-1)*(0.0018161+(AD111-1)*(0.002875+(AD111-1)*0.0008083))),"")</f>
        <v/>
      </c>
      <c r="AF111" s="87"/>
      <c r="AG111" s="87"/>
      <c r="AH111" s="87"/>
      <c r="AI111" s="87"/>
    </row>
    <row r="112" spans="1:35">
      <c r="A112" s="42" t="s">
        <v>179</v>
      </c>
      <c r="B112" s="45">
        <v>10.8849</v>
      </c>
      <c r="C112" s="45">
        <v>43.19</v>
      </c>
      <c r="D112" s="172">
        <v>4.71</v>
      </c>
      <c r="E112" s="172">
        <v>-0.05</v>
      </c>
      <c r="F112" s="172">
        <v>-0.06</v>
      </c>
      <c r="G112" s="188">
        <f>IF($AH$3&gt;0.5,($AH$2+2415019)+((((HOUR($AH$3)*60)+MINUTE($AH$3))/1440+DAY($AH$2))-0.5)-DAY($AH$2),($AH$2+2415019)+((((HOUR($AH$3)*60)+MINUTE($AH$3))/1440+DAY($AH$2))-1.5)-DAY($AH$2)+1)</f>
        <v>2461051.9375</v>
      </c>
      <c r="H112" s="188">
        <f>IF((G112-ROUNDDOWN(G112,0))&lt;0.5,ROUNDDOWN(G112,0)-0.5,ROUNDDOWN(G112,0)+0.5)</f>
        <v>2461051.5</v>
      </c>
      <c r="I112" s="188">
        <f>$AH$3*24</f>
        <v>10.5</v>
      </c>
      <c r="J112" s="188">
        <f>G112-2451545</f>
        <v>9506.9375</v>
      </c>
      <c r="K112" s="188">
        <f>G112-2451545</f>
        <v>9506.9375</v>
      </c>
      <c r="L112" s="188">
        <f>AVERAGE(H112-2451545)/36525</f>
        <v>0.26027378507871324</v>
      </c>
      <c r="M112" s="188">
        <f>6.697374558+(0.065707485828*K112)+(1.0027379093*I112)+(0.0854103*L112)+(0.000025862*L112*L112)</f>
        <v>641.92531546860243</v>
      </c>
      <c r="N112" s="188">
        <f>M112-24*(ROUNDDOWN(M112/24,0))</f>
        <v>17.925315468602435</v>
      </c>
      <c r="O112" s="188">
        <f>125.04-0.052954*J112</f>
        <v>-378.39036837499998</v>
      </c>
      <c r="P112" s="188">
        <f>280.47+0.98565*J112</f>
        <v>9650.9829468749995</v>
      </c>
      <c r="Q112" s="188">
        <f>23.4393-0.0000004*J112</f>
        <v>23.435497224999999</v>
      </c>
      <c r="R112" s="188">
        <f>-0.000319*SIN(RADIANS(O112))-0.000024*SIN((RADIANS(2*P112)))</f>
        <v>1.1668967270040724E-4</v>
      </c>
      <c r="S112" s="188">
        <f>N112+R112*COS(RADIANS(Q112))</f>
        <v>17.925422532357235</v>
      </c>
      <c r="T112" s="188">
        <f>S112-'Data Entry-V'!$F$9/15</f>
        <v>29.556533643468349</v>
      </c>
      <c r="U112" s="188">
        <f>IF(T112&lt;0,T112+24,IF(T112&gt;24,T112-24,T112))</f>
        <v>5.5565336434683488</v>
      </c>
      <c r="V112" s="188">
        <f>U112-B112</f>
        <v>-5.3283663565316512</v>
      </c>
      <c r="W112" s="188">
        <f>V112*15</f>
        <v>-79.925495347974774</v>
      </c>
      <c r="X112" s="188">
        <f>IF(W112&lt;0,W112+360,W112)</f>
        <v>280.07450465202521</v>
      </c>
      <c r="Y112" s="188">
        <f>-SIN(RADIANS(X112))</f>
        <v>0.98458111679750748</v>
      </c>
      <c r="Z112" s="188">
        <f>TAN(RADIANS(C112))*COS(RADIANS('Data Entry-V'!$F$8))-SIN(RADIANS('Data Entry-V'!$F$8))*COS(RADIANS(X112))</f>
        <v>0.85621443003111009</v>
      </c>
      <c r="AA112" s="188">
        <f>DEGREES(ATAN2(Z112,Y112))</f>
        <v>48.989026434780932</v>
      </c>
      <c r="AB112" s="126">
        <f>IF(AA112&lt;0,AA112+360,AA112)</f>
        <v>48.989026434780932</v>
      </c>
      <c r="AC112" s="126">
        <f>DEGREES(ASIN((SIN(RADIANS('Data Entry-V'!$F$8))*SIN(RADIANS(C112)))+(COS(RADIANS('Data Entry-V'!$F$8))*COS(RADIANS(C112))*COS(RADIANS((U112-B112)*15)))))</f>
        <v>-17.952166775934288</v>
      </c>
      <c r="AD112" s="188">
        <f>1/(COS((4*ATAN(1))/2-(AC112*(4*ATAN(1))/180)))</f>
        <v>-3.2444052679170077</v>
      </c>
      <c r="AE112" s="188" t="str">
        <f>IF(AC112&gt;10,AD112-((AD112-1)*(0.0018161+(AD112-1)*(0.002875+(AD112-1)*0.0008083))),"")</f>
        <v/>
      </c>
      <c r="AF112" s="87"/>
      <c r="AG112" s="87"/>
      <c r="AH112" s="87"/>
      <c r="AI112" s="87"/>
    </row>
    <row r="113" spans="1:35">
      <c r="A113" s="42" t="s">
        <v>180</v>
      </c>
      <c r="B113" s="45">
        <v>11.0388</v>
      </c>
      <c r="C113" s="45">
        <v>20.180099999999999</v>
      </c>
      <c r="D113" s="172">
        <v>4.41</v>
      </c>
      <c r="E113" s="172">
        <v>0.04</v>
      </c>
      <c r="F113" s="172">
        <v>0.04</v>
      </c>
      <c r="G113" s="188">
        <f>IF($AH$3&gt;0.5,($AH$2+2415019)+((((HOUR($AH$3)*60)+MINUTE($AH$3))/1440+DAY($AH$2))-0.5)-DAY($AH$2),($AH$2+2415019)+((((HOUR($AH$3)*60)+MINUTE($AH$3))/1440+DAY($AH$2))-1.5)-DAY($AH$2)+1)</f>
        <v>2461051.9375</v>
      </c>
      <c r="H113" s="188">
        <f>IF((G113-ROUNDDOWN(G113,0))&lt;0.5,ROUNDDOWN(G113,0)-0.5,ROUNDDOWN(G113,0)+0.5)</f>
        <v>2461051.5</v>
      </c>
      <c r="I113" s="188">
        <f>$AH$3*24</f>
        <v>10.5</v>
      </c>
      <c r="J113" s="188">
        <f>G113-2451545</f>
        <v>9506.9375</v>
      </c>
      <c r="K113" s="188">
        <f>G113-2451545</f>
        <v>9506.9375</v>
      </c>
      <c r="L113" s="188">
        <f>AVERAGE(H113-2451545)/36525</f>
        <v>0.26027378507871324</v>
      </c>
      <c r="M113" s="188">
        <f>6.697374558+(0.065707485828*K113)+(1.0027379093*I113)+(0.0854103*L113)+(0.000025862*L113*L113)</f>
        <v>641.92531546860243</v>
      </c>
      <c r="N113" s="188">
        <f>M113-24*(ROUNDDOWN(M113/24,0))</f>
        <v>17.925315468602435</v>
      </c>
      <c r="O113" s="188">
        <f>125.04-0.052954*J113</f>
        <v>-378.39036837499998</v>
      </c>
      <c r="P113" s="188">
        <f>280.47+0.98565*J113</f>
        <v>9650.9829468749995</v>
      </c>
      <c r="Q113" s="188">
        <f>23.4393-0.0000004*J113</f>
        <v>23.435497224999999</v>
      </c>
      <c r="R113" s="188">
        <f>-0.000319*SIN(RADIANS(O113))-0.000024*SIN((RADIANS(2*P113)))</f>
        <v>1.1668967270040724E-4</v>
      </c>
      <c r="S113" s="188">
        <f>N113+R113*COS(RADIANS(Q113))</f>
        <v>17.925422532357235</v>
      </c>
      <c r="T113" s="188">
        <f>S113-'Data Entry-V'!$F$9/15</f>
        <v>29.556533643468349</v>
      </c>
      <c r="U113" s="188">
        <f>IF(T113&lt;0,T113+24,IF(T113&gt;24,T113-24,T113))</f>
        <v>5.5565336434683488</v>
      </c>
      <c r="V113" s="188">
        <f>U113-B113</f>
        <v>-5.4822663565316514</v>
      </c>
      <c r="W113" s="188">
        <f>V113*15</f>
        <v>-82.233995347974769</v>
      </c>
      <c r="X113" s="188">
        <f>IF(W113&lt;0,W113+360,W113)</f>
        <v>277.76600465202523</v>
      </c>
      <c r="Y113" s="188">
        <f>-SIN(RADIANS(X113))</f>
        <v>0.99082819029732594</v>
      </c>
      <c r="Z113" s="188">
        <f>TAN(RADIANS(C113))*COS(RADIANS('Data Entry-V'!$F$8))-SIN(RADIANS('Data Entry-V'!$F$8))*COS(RADIANS(X113))</f>
        <v>0.37517554809625164</v>
      </c>
      <c r="AA113" s="188">
        <f>DEGREES(ATAN2(Z113,Y113))</f>
        <v>69.260906858599412</v>
      </c>
      <c r="AB113" s="126">
        <f>IF(AA113&lt;0,AA113+360,AA113)</f>
        <v>69.260906858599412</v>
      </c>
      <c r="AC113" s="126">
        <f>DEGREES(ASIN((SIN(RADIANS('Data Entry-V'!$F$8))*SIN(RADIANS(C113)))+(COS(RADIANS('Data Entry-V'!$F$8))*COS(RADIANS(C113))*COS(RADIANS((U113-B113)*15)))))</f>
        <v>-6.0440212616119595</v>
      </c>
      <c r="AD113" s="188">
        <f>1/(COS((4*ATAN(1))/2-(AC113*(4*ATAN(1))/180)))</f>
        <v>-9.4973490607856217</v>
      </c>
      <c r="AE113" s="188" t="str">
        <f>IF(AC113&gt;10,AD113-((AD113-1)*(0.0018161+(AD113-1)*(0.002875+(AD113-1)*0.0008083))),"")</f>
        <v/>
      </c>
      <c r="AF113" s="87"/>
      <c r="AG113" s="87"/>
      <c r="AH113" s="87"/>
      <c r="AI113" s="87"/>
    </row>
    <row r="114" spans="1:35">
      <c r="A114" s="42" t="s">
        <v>181</v>
      </c>
      <c r="B114" s="45">
        <v>11.2293</v>
      </c>
      <c r="C114" s="45">
        <v>-6.9500000000000006E-2</v>
      </c>
      <c r="D114" s="172">
        <v>5.42</v>
      </c>
      <c r="E114" s="172">
        <v>-0.02</v>
      </c>
      <c r="F114" s="172">
        <v>-0.05</v>
      </c>
      <c r="G114" s="188">
        <f>IF($AH$3&gt;0.5,($AH$2+2415019)+((((HOUR($AH$3)*60)+MINUTE($AH$3))/1440+DAY($AH$2))-0.5)-DAY($AH$2),($AH$2+2415019)+((((HOUR($AH$3)*60)+MINUTE($AH$3))/1440+DAY($AH$2))-1.5)-DAY($AH$2)+1)</f>
        <v>2461051.9375</v>
      </c>
      <c r="H114" s="188">
        <f>IF((G114-ROUNDDOWN(G114,0))&lt;0.5,ROUNDDOWN(G114,0)-0.5,ROUNDDOWN(G114,0)+0.5)</f>
        <v>2461051.5</v>
      </c>
      <c r="I114" s="188">
        <f>$AH$3*24</f>
        <v>10.5</v>
      </c>
      <c r="J114" s="188">
        <f>G114-2451545</f>
        <v>9506.9375</v>
      </c>
      <c r="K114" s="188">
        <f>G114-2451545</f>
        <v>9506.9375</v>
      </c>
      <c r="L114" s="188">
        <f>AVERAGE(H114-2451545)/36525</f>
        <v>0.26027378507871324</v>
      </c>
      <c r="M114" s="188">
        <f>6.697374558+(0.065707485828*K114)+(1.0027379093*I114)+(0.0854103*L114)+(0.000025862*L114*L114)</f>
        <v>641.92531546860243</v>
      </c>
      <c r="N114" s="188">
        <f>M114-24*(ROUNDDOWN(M114/24,0))</f>
        <v>17.925315468602435</v>
      </c>
      <c r="O114" s="188">
        <f>125.04-0.052954*J114</f>
        <v>-378.39036837499998</v>
      </c>
      <c r="P114" s="188">
        <f>280.47+0.98565*J114</f>
        <v>9650.9829468749995</v>
      </c>
      <c r="Q114" s="188">
        <f>23.4393-0.0000004*J114</f>
        <v>23.435497224999999</v>
      </c>
      <c r="R114" s="188">
        <f>-0.000319*SIN(RADIANS(O114))-0.000024*SIN((RADIANS(2*P114)))</f>
        <v>1.1668967270040724E-4</v>
      </c>
      <c r="S114" s="188">
        <f>N114+R114*COS(RADIANS(Q114))</f>
        <v>17.925422532357235</v>
      </c>
      <c r="T114" s="188">
        <f>S114-'Data Entry-V'!$F$9/15</f>
        <v>29.556533643468349</v>
      </c>
      <c r="U114" s="188">
        <f>IF(T114&lt;0,T114+24,IF(T114&gt;24,T114-24,T114))</f>
        <v>5.5565336434683488</v>
      </c>
      <c r="V114" s="188">
        <f>U114-B114</f>
        <v>-5.6727663565316515</v>
      </c>
      <c r="W114" s="188">
        <f>V114*15</f>
        <v>-85.091495347974771</v>
      </c>
      <c r="X114" s="188">
        <f>IF(W114&lt;0,W114+360,W114)</f>
        <v>274.90850465202521</v>
      </c>
      <c r="Y114" s="188">
        <f>-SIN(RADIANS(X114))</f>
        <v>0.99633260642395394</v>
      </c>
      <c r="Z114" s="188">
        <f>TAN(RADIANS(C114))*COS(RADIANS('Data Entry-V'!$F$8))-SIN(RADIANS('Data Entry-V'!$F$8))*COS(RADIANS(X114))</f>
        <v>5.032432632541247E-2</v>
      </c>
      <c r="AA114" s="188">
        <f>DEGREES(ATAN2(Z114,Y114))</f>
        <v>87.108472413076598</v>
      </c>
      <c r="AB114" s="126">
        <f>IF(AA114&lt;0,AA114+360,AA114)</f>
        <v>87.108472413076598</v>
      </c>
      <c r="AC114" s="126">
        <f>DEGREES(ASIN((SIN(RADIANS('Data Entry-V'!$F$8))*SIN(RADIANS(C114)))+(COS(RADIANS('Data Entry-V'!$F$8))*COS(RADIANS(C114))*COS(RADIANS((U114-B114)*15)))))</f>
        <v>3.9687129950079592</v>
      </c>
      <c r="AD114" s="188">
        <f>1/(COS((4*ATAN(1))/2-(AC114*(4*ATAN(1))/180)))</f>
        <v>14.448417440048438</v>
      </c>
      <c r="AE114" s="188" t="str">
        <f>IF(AC114&gt;10,AD114-((AD114-1)*(0.0018161+(AD114-1)*(0.002875+(AD114-1)*0.0008083))),"")</f>
        <v/>
      </c>
      <c r="AF114" s="87"/>
      <c r="AG114" s="87"/>
      <c r="AH114" s="87"/>
      <c r="AI114" s="87"/>
    </row>
    <row r="115" spans="1:35">
      <c r="A115" s="42" t="s">
        <v>182</v>
      </c>
      <c r="B115" s="187">
        <v>11.3523</v>
      </c>
      <c r="C115" s="187">
        <v>6.0293000000000001</v>
      </c>
      <c r="D115" s="172">
        <v>4.0599999999999996</v>
      </c>
      <c r="E115" s="172">
        <v>-7.0000000000000007E-2</v>
      </c>
      <c r="F115" s="172">
        <v>-0.12</v>
      </c>
      <c r="G115" s="188">
        <f>IF($AH$3&gt;0.5,($AH$2+2415019)+((((HOUR($AH$3)*60)+MINUTE($AH$3))/1440+DAY($AH$2))-0.5)-DAY($AH$2),($AH$2+2415019)+((((HOUR($AH$3)*60)+MINUTE($AH$3))/1440+DAY($AH$2))-1.5)-DAY($AH$2)+1)</f>
        <v>2461051.9375</v>
      </c>
      <c r="H115" s="188">
        <f>IF((G115-ROUNDDOWN(G115,0))&lt;0.5,ROUNDDOWN(G115,0)-0.5,ROUNDDOWN(G115,0)+0.5)</f>
        <v>2461051.5</v>
      </c>
      <c r="I115" s="188">
        <f>$AH$3*24</f>
        <v>10.5</v>
      </c>
      <c r="J115" s="188">
        <f>G115-2451545</f>
        <v>9506.9375</v>
      </c>
      <c r="K115" s="188">
        <f>G115-2451545</f>
        <v>9506.9375</v>
      </c>
      <c r="L115" s="188">
        <f>AVERAGE(H115-2451545)/36525</f>
        <v>0.26027378507871324</v>
      </c>
      <c r="M115" s="188">
        <f>6.697374558+(0.065707485828*K115)+(1.0027379093*I115)+(0.0854103*L115)+(0.000025862*L115*L115)</f>
        <v>641.92531546860243</v>
      </c>
      <c r="N115" s="188">
        <f>M115-24*(ROUNDDOWN(M115/24,0))</f>
        <v>17.925315468602435</v>
      </c>
      <c r="O115" s="188">
        <f>125.04-0.052954*J115</f>
        <v>-378.39036837499998</v>
      </c>
      <c r="P115" s="188">
        <f>280.47+0.98565*J115</f>
        <v>9650.9829468749995</v>
      </c>
      <c r="Q115" s="188">
        <f>23.4393-0.0000004*J115</f>
        <v>23.435497224999999</v>
      </c>
      <c r="R115" s="188">
        <f>-0.000319*SIN(RADIANS(O115))-0.000024*SIN((RADIANS(2*P115)))</f>
        <v>1.1668967270040724E-4</v>
      </c>
      <c r="S115" s="188">
        <f>N115+R115*COS(RADIANS(Q115))</f>
        <v>17.925422532357235</v>
      </c>
      <c r="T115" s="188">
        <f>S115-'Data Entry-V'!$F$9/15</f>
        <v>29.556533643468349</v>
      </c>
      <c r="U115" s="188">
        <f>IF(T115&lt;0,T115+24,IF(T115&gt;24,T115-24,T115))</f>
        <v>5.5565336434683488</v>
      </c>
      <c r="V115" s="188">
        <f>U115-B115</f>
        <v>-5.7957663565316508</v>
      </c>
      <c r="W115" s="188">
        <f>V115*15</f>
        <v>-86.936495347974756</v>
      </c>
      <c r="X115" s="188">
        <f>IF(W115&lt;0,W115+360,W115)</f>
        <v>273.06350465202524</v>
      </c>
      <c r="Y115" s="188">
        <f>-SIN(RADIANS(X115))</f>
        <v>0.99857091401534337</v>
      </c>
      <c r="Z115" s="188">
        <f>TAN(RADIANS(C115))*COS(RADIANS('Data Entry-V'!$F$8))-SIN(RADIANS('Data Entry-V'!$F$8))*COS(RADIANS(X115))</f>
        <v>0.11657583146070044</v>
      </c>
      <c r="AA115" s="188">
        <f>DEGREES(ATAN2(Z115,Y115))</f>
        <v>83.341278979932653</v>
      </c>
      <c r="AB115" s="126">
        <f>IF(AA115&lt;0,AA115+360,AA115)</f>
        <v>83.341278979932653</v>
      </c>
      <c r="AC115" s="126">
        <f>DEGREES(ASIN((SIN(RADIANS('Data Entry-V'!$F$8))*SIN(RADIANS(C115)))+(COS(RADIANS('Data Entry-V'!$F$8))*COS(RADIANS(C115))*COS(RADIANS((U115-B115)*15)))))</f>
        <v>-1.1706643310298117</v>
      </c>
      <c r="AD115" s="188">
        <f>1/(COS((4*ATAN(1))/2-(AC115*(4*ATAN(1))/180)))</f>
        <v>-48.946367186889916</v>
      </c>
      <c r="AE115" s="188" t="str">
        <f>IF(AC115&gt;10,AD115-((AD115-1)*(0.0018161+(AD115-1)*(0.002875+(AD115-1)*0.0008083))),"")</f>
        <v/>
      </c>
      <c r="AF115" s="87"/>
      <c r="AG115" s="87"/>
      <c r="AH115" s="87"/>
      <c r="AI115" s="87"/>
    </row>
    <row r="116" spans="1:35">
      <c r="A116" s="42" t="s">
        <v>183</v>
      </c>
      <c r="B116" s="187">
        <v>11.3188</v>
      </c>
      <c r="C116" s="187">
        <v>38.185200000000002</v>
      </c>
      <c r="D116" s="172">
        <v>4.79</v>
      </c>
      <c r="E116" s="172">
        <v>0.12</v>
      </c>
      <c r="F116" s="172">
        <v>0.03</v>
      </c>
      <c r="G116" s="188">
        <f>IF($AH$3&gt;0.5,($AH$2+2415019)+((((HOUR($AH$3)*60)+MINUTE($AH$3))/1440+DAY($AH$2))-0.5)-DAY($AH$2),($AH$2+2415019)+((((HOUR($AH$3)*60)+MINUTE($AH$3))/1440+DAY($AH$2))-1.5)-DAY($AH$2)+1)</f>
        <v>2461051.9375</v>
      </c>
      <c r="H116" s="188">
        <f>IF((G116-ROUNDDOWN(G116,0))&lt;0.5,ROUNDDOWN(G116,0)-0.5,ROUNDDOWN(G116,0)+0.5)</f>
        <v>2461051.5</v>
      </c>
      <c r="I116" s="188">
        <f>$AH$3*24</f>
        <v>10.5</v>
      </c>
      <c r="J116" s="188">
        <f>G116-2451545</f>
        <v>9506.9375</v>
      </c>
      <c r="K116" s="188">
        <f>G116-2451545</f>
        <v>9506.9375</v>
      </c>
      <c r="L116" s="188">
        <f>AVERAGE(H116-2451545)/36525</f>
        <v>0.26027378507871324</v>
      </c>
      <c r="M116" s="188">
        <f>6.697374558+(0.065707485828*K116)+(1.0027379093*I116)+(0.0854103*L116)+(0.000025862*L116*L116)</f>
        <v>641.92531546860243</v>
      </c>
      <c r="N116" s="188">
        <f>M116-24*(ROUNDDOWN(M116/24,0))</f>
        <v>17.925315468602435</v>
      </c>
      <c r="O116" s="188">
        <f>125.04-0.052954*J116</f>
        <v>-378.39036837499998</v>
      </c>
      <c r="P116" s="188">
        <f>280.47+0.98565*J116</f>
        <v>9650.9829468749995</v>
      </c>
      <c r="Q116" s="188">
        <f>23.4393-0.0000004*J116</f>
        <v>23.435497224999999</v>
      </c>
      <c r="R116" s="188">
        <f>-0.000319*SIN(RADIANS(O116))-0.000024*SIN((RADIANS(2*P116)))</f>
        <v>1.1668967270040724E-4</v>
      </c>
      <c r="S116" s="188">
        <f>N116+R116*COS(RADIANS(Q116))</f>
        <v>17.925422532357235</v>
      </c>
      <c r="T116" s="188">
        <f>S116-'Data Entry-V'!$F$9/15</f>
        <v>29.556533643468349</v>
      </c>
      <c r="U116" s="188">
        <f>IF(T116&lt;0,T116+24,IF(T116&gt;24,T116-24,T116))</f>
        <v>5.5565336434683488</v>
      </c>
      <c r="V116" s="188">
        <f>U116-B116</f>
        <v>-5.7622663565316508</v>
      </c>
      <c r="W116" s="188">
        <f>V116*15</f>
        <v>-86.433995347974758</v>
      </c>
      <c r="X116" s="188">
        <f>IF(W116&lt;0,W116+360,W116)</f>
        <v>273.56600465202524</v>
      </c>
      <c r="Y116" s="188">
        <f>-SIN(RADIANS(X116))</f>
        <v>0.99806380829893993</v>
      </c>
      <c r="Z116" s="188">
        <f>TAN(RADIANS(C116))*COS(RADIANS('Data Entry-V'!$F$8))-SIN(RADIANS('Data Entry-V'!$F$8))*COS(RADIANS(X116))</f>
        <v>0.66679165043417643</v>
      </c>
      <c r="AA116" s="188">
        <f>DEGREES(ATAN2(Z116,Y116))</f>
        <v>56.253701664875635</v>
      </c>
      <c r="AB116" s="126">
        <f>IF(AA116&lt;0,AA116+360,AA116)</f>
        <v>56.253701664875635</v>
      </c>
      <c r="AC116" s="126">
        <f>DEGREES(ASIN((SIN(RADIANS('Data Entry-V'!$F$8))*SIN(RADIANS(C116)))+(COS(RADIANS('Data Entry-V'!$F$8))*COS(RADIANS(C116))*COS(RADIANS((U116-B116)*15)))))</f>
        <v>-19.358489126110513</v>
      </c>
      <c r="AD116" s="188">
        <f>1/(COS((4*ATAN(1))/2-(AC116*(4*ATAN(1))/180)))</f>
        <v>-3.0167943862758784</v>
      </c>
      <c r="AE116" s="188" t="str">
        <f>IF(AC116&gt;10,AD116-((AD116-1)*(0.0018161+(AD116-1)*(0.002875+(AD116-1)*0.0008083))),"")</f>
        <v/>
      </c>
      <c r="AF116" s="87"/>
      <c r="AG116" s="87"/>
      <c r="AH116" s="87"/>
      <c r="AI116" s="87"/>
    </row>
    <row r="117" spans="1:35">
      <c r="A117" s="42" t="s">
        <v>184</v>
      </c>
      <c r="B117" s="187">
        <v>11.7986</v>
      </c>
      <c r="C117" s="187">
        <v>8.2460000000000004</v>
      </c>
      <c r="D117" s="172">
        <v>5.31</v>
      </c>
      <c r="E117" s="172">
        <v>0.02</v>
      </c>
      <c r="F117" s="172">
        <v>0.04</v>
      </c>
      <c r="G117" s="188">
        <f>IF($AH$3&gt;0.5,($AH$2+2415019)+((((HOUR($AH$3)*60)+MINUTE($AH$3))/1440+DAY($AH$2))-0.5)-DAY($AH$2),($AH$2+2415019)+((((HOUR($AH$3)*60)+MINUTE($AH$3))/1440+DAY($AH$2))-1.5)-DAY($AH$2)+1)</f>
        <v>2461051.9375</v>
      </c>
      <c r="H117" s="188">
        <f>IF((G117-ROUNDDOWN(G117,0))&lt;0.5,ROUNDDOWN(G117,0)-0.5,ROUNDDOWN(G117,0)+0.5)</f>
        <v>2461051.5</v>
      </c>
      <c r="I117" s="188">
        <f>$AH$3*24</f>
        <v>10.5</v>
      </c>
      <c r="J117" s="188">
        <f>G117-2451545</f>
        <v>9506.9375</v>
      </c>
      <c r="K117" s="188">
        <f>G117-2451545</f>
        <v>9506.9375</v>
      </c>
      <c r="L117" s="188">
        <f>AVERAGE(H117-2451545)/36525</f>
        <v>0.26027378507871324</v>
      </c>
      <c r="M117" s="188">
        <f>6.697374558+(0.065707485828*K117)+(1.0027379093*I117)+(0.0854103*L117)+(0.000025862*L117*L117)</f>
        <v>641.92531546860243</v>
      </c>
      <c r="N117" s="188">
        <f>M117-24*(ROUNDDOWN(M117/24,0))</f>
        <v>17.925315468602435</v>
      </c>
      <c r="O117" s="188">
        <f>125.04-0.052954*J117</f>
        <v>-378.39036837499998</v>
      </c>
      <c r="P117" s="188">
        <f>280.47+0.98565*J117</f>
        <v>9650.9829468749995</v>
      </c>
      <c r="Q117" s="188">
        <f>23.4393-0.0000004*J117</f>
        <v>23.435497224999999</v>
      </c>
      <c r="R117" s="188">
        <f>-0.000319*SIN(RADIANS(O117))-0.000024*SIN((RADIANS(2*P117)))</f>
        <v>1.1668967270040724E-4</v>
      </c>
      <c r="S117" s="188">
        <f>N117+R117*COS(RADIANS(Q117))</f>
        <v>17.925422532357235</v>
      </c>
      <c r="T117" s="188">
        <f>S117-'Data Entry-V'!$F$9/15</f>
        <v>29.556533643468349</v>
      </c>
      <c r="U117" s="188">
        <f>IF(T117&lt;0,T117+24,IF(T117&gt;24,T117-24,T117))</f>
        <v>5.5565336434683488</v>
      </c>
      <c r="V117" s="188">
        <f>U117-B117</f>
        <v>-6.2420663565316516</v>
      </c>
      <c r="W117" s="188">
        <f>V117*15</f>
        <v>-93.630995347974775</v>
      </c>
      <c r="X117" s="188">
        <f>IF(W117&lt;0,W117+360,W117)</f>
        <v>266.36900465202524</v>
      </c>
      <c r="Y117" s="188">
        <f>-SIN(RADIANS(X117))</f>
        <v>0.99799261455163757</v>
      </c>
      <c r="Z117" s="188">
        <f>TAN(RADIANS(C117))*COS(RADIANS('Data Entry-V'!$F$8))-SIN(RADIANS('Data Entry-V'!$F$8))*COS(RADIANS(X117))</f>
        <v>7.8027014373436926E-2</v>
      </c>
      <c r="AA117" s="188">
        <f>DEGREES(ATAN2(Z117,Y117))</f>
        <v>85.529483304537791</v>
      </c>
      <c r="AB117" s="126">
        <f>IF(AA117&lt;0,AA117+360,AA117)</f>
        <v>85.529483304537791</v>
      </c>
      <c r="AC117" s="126">
        <f>DEGREES(ASIN((SIN(RADIANS('Data Entry-V'!$F$8))*SIN(RADIANS(C117)))+(COS(RADIANS('Data Entry-V'!$F$8))*COS(RADIANS(C117))*COS(RADIANS((U117-B117)*15)))))</f>
        <v>-7.8248580052455852</v>
      </c>
      <c r="AD117" s="188">
        <f>1/(COS((4*ATAN(1))/2-(AC117*(4*ATAN(1))/180)))</f>
        <v>-7.3450884345040208</v>
      </c>
      <c r="AE117" s="188" t="str">
        <f>IF(AC117&gt;10,AD117-((AD117-1)*(0.0018161+(AD117-1)*(0.002875+(AD117-1)*0.0008083))),"")</f>
        <v/>
      </c>
      <c r="AF117" s="87"/>
      <c r="AG117" s="87"/>
      <c r="AH117" s="87"/>
      <c r="AI117" s="87"/>
    </row>
    <row r="118" spans="1:35">
      <c r="A118" s="42" t="s">
        <v>185</v>
      </c>
      <c r="B118" s="187">
        <v>11.9991</v>
      </c>
      <c r="C118" s="187">
        <v>3.6551999999999998</v>
      </c>
      <c r="D118" s="172">
        <v>5.36</v>
      </c>
      <c r="E118" s="172">
        <v>0</v>
      </c>
      <c r="F118" s="172">
        <v>0</v>
      </c>
      <c r="G118" s="188">
        <f>IF($AH$3&gt;0.5,($AH$2+2415019)+((((HOUR($AH$3)*60)+MINUTE($AH$3))/1440+DAY($AH$2))-0.5)-DAY($AH$2),($AH$2+2415019)+((((HOUR($AH$3)*60)+MINUTE($AH$3))/1440+DAY($AH$2))-1.5)-DAY($AH$2)+1)</f>
        <v>2461051.9375</v>
      </c>
      <c r="H118" s="188">
        <f>IF((G118-ROUNDDOWN(G118,0))&lt;0.5,ROUNDDOWN(G118,0)-0.5,ROUNDDOWN(G118,0)+0.5)</f>
        <v>2461051.5</v>
      </c>
      <c r="I118" s="188">
        <f>$AH$3*24</f>
        <v>10.5</v>
      </c>
      <c r="J118" s="188">
        <f>G118-2451545</f>
        <v>9506.9375</v>
      </c>
      <c r="K118" s="188">
        <f>G118-2451545</f>
        <v>9506.9375</v>
      </c>
      <c r="L118" s="188">
        <f>AVERAGE(H118-2451545)/36525</f>
        <v>0.26027378507871324</v>
      </c>
      <c r="M118" s="188">
        <f>6.697374558+(0.065707485828*K118)+(1.0027379093*I118)+(0.0854103*L118)+(0.000025862*L118*L118)</f>
        <v>641.92531546860243</v>
      </c>
      <c r="N118" s="188">
        <f>M118-24*(ROUNDDOWN(M118/24,0))</f>
        <v>17.925315468602435</v>
      </c>
      <c r="O118" s="188">
        <f>125.04-0.052954*J118</f>
        <v>-378.39036837499998</v>
      </c>
      <c r="P118" s="188">
        <f>280.47+0.98565*J118</f>
        <v>9650.9829468749995</v>
      </c>
      <c r="Q118" s="188">
        <f>23.4393-0.0000004*J118</f>
        <v>23.435497224999999</v>
      </c>
      <c r="R118" s="188">
        <f>-0.000319*SIN(RADIANS(O118))-0.000024*SIN((RADIANS(2*P118)))</f>
        <v>1.1668967270040724E-4</v>
      </c>
      <c r="S118" s="188">
        <f>N118+R118*COS(RADIANS(Q118))</f>
        <v>17.925422532357235</v>
      </c>
      <c r="T118" s="188">
        <f>S118-'Data Entry-V'!$F$9/15</f>
        <v>29.556533643468349</v>
      </c>
      <c r="U118" s="188">
        <f>IF(T118&lt;0,T118+24,IF(T118&gt;24,T118-24,T118))</f>
        <v>5.5565336434683488</v>
      </c>
      <c r="V118" s="188">
        <f>U118-B118</f>
        <v>-6.4425663565316516</v>
      </c>
      <c r="W118" s="188">
        <f>V118*15</f>
        <v>-96.638495347974768</v>
      </c>
      <c r="X118" s="188">
        <f>IF(W118&lt;0,W118+360,W118)</f>
        <v>263.36150465202525</v>
      </c>
      <c r="Y118" s="188">
        <f>-SIN(RADIANS(X118))</f>
        <v>0.99329531850829944</v>
      </c>
      <c r="Z118" s="188">
        <f>TAN(RADIANS(C118))*COS(RADIANS('Data Entry-V'!$F$8))-SIN(RADIANS('Data Entry-V'!$F$8))*COS(RADIANS(X118))</f>
        <v>-1.8173672120291154E-2</v>
      </c>
      <c r="AA118" s="188">
        <f>DEGREES(ATAN2(Z118,Y118))</f>
        <v>91.048186298305978</v>
      </c>
      <c r="AB118" s="126">
        <f>IF(AA118&lt;0,AA118+360,AA118)</f>
        <v>91.048186298305978</v>
      </c>
      <c r="AC118" s="126">
        <f>DEGREES(ASIN((SIN(RADIANS('Data Entry-V'!$F$8))*SIN(RADIANS(C118)))+(COS(RADIANS('Data Entry-V'!$F$8))*COS(RADIANS(C118))*COS(RADIANS((U118-B118)*15)))))</f>
        <v>-7.5018560082444337</v>
      </c>
      <c r="AD118" s="188">
        <f>1/(COS((4*ATAN(1))/2-(AC118*(4*ATAN(1))/180)))</f>
        <v>-7.659412960185338</v>
      </c>
      <c r="AE118" s="188" t="str">
        <f>IF(AC118&gt;10,AD118-((AD118-1)*(0.0018161+(AD118-1)*(0.002875+(AD118-1)*0.0008083))),"")</f>
        <v/>
      </c>
      <c r="AF118" s="87"/>
      <c r="AG118" s="87"/>
      <c r="AH118" s="87"/>
      <c r="AI118" s="87"/>
    </row>
    <row r="119" spans="1:35">
      <c r="A119" s="42" t="s">
        <v>186</v>
      </c>
      <c r="B119" s="187">
        <v>12.0146</v>
      </c>
      <c r="C119" s="187">
        <v>6.6143000000000001</v>
      </c>
      <c r="D119" s="172">
        <v>4.67</v>
      </c>
      <c r="E119" s="172">
        <v>0.13</v>
      </c>
      <c r="F119" s="172">
        <v>0.1</v>
      </c>
      <c r="G119" s="188">
        <f>IF($AH$3&gt;0.5,($AH$2+2415019)+((((HOUR($AH$3)*60)+MINUTE($AH$3))/1440+DAY($AH$2))-0.5)-DAY($AH$2),($AH$2+2415019)+((((HOUR($AH$3)*60)+MINUTE($AH$3))/1440+DAY($AH$2))-1.5)-DAY($AH$2)+1)</f>
        <v>2461051.9375</v>
      </c>
      <c r="H119" s="188">
        <f>IF((G119-ROUNDDOWN(G119,0))&lt;0.5,ROUNDDOWN(G119,0)-0.5,ROUNDDOWN(G119,0)+0.5)</f>
        <v>2461051.5</v>
      </c>
      <c r="I119" s="188">
        <f>$AH$3*24</f>
        <v>10.5</v>
      </c>
      <c r="J119" s="188">
        <f>G119-2451545</f>
        <v>9506.9375</v>
      </c>
      <c r="K119" s="188">
        <f>G119-2451545</f>
        <v>9506.9375</v>
      </c>
      <c r="L119" s="188">
        <f>AVERAGE(H119-2451545)/36525</f>
        <v>0.26027378507871324</v>
      </c>
      <c r="M119" s="188">
        <f>6.697374558+(0.065707485828*K119)+(1.0027379093*I119)+(0.0854103*L119)+(0.000025862*L119*L119)</f>
        <v>641.92531546860243</v>
      </c>
      <c r="N119" s="188">
        <f>M119-24*(ROUNDDOWN(M119/24,0))</f>
        <v>17.925315468602435</v>
      </c>
      <c r="O119" s="188">
        <f>125.04-0.052954*J119</f>
        <v>-378.39036837499998</v>
      </c>
      <c r="P119" s="188">
        <f>280.47+0.98565*J119</f>
        <v>9650.9829468749995</v>
      </c>
      <c r="Q119" s="188">
        <f>23.4393-0.0000004*J119</f>
        <v>23.435497224999999</v>
      </c>
      <c r="R119" s="188">
        <f>-0.000319*SIN(RADIANS(O119))-0.000024*SIN((RADIANS(2*P119)))</f>
        <v>1.1668967270040724E-4</v>
      </c>
      <c r="S119" s="188">
        <f>N119+R119*COS(RADIANS(Q119))</f>
        <v>17.925422532357235</v>
      </c>
      <c r="T119" s="188">
        <f>S119-'Data Entry-V'!$F$9/15</f>
        <v>29.556533643468349</v>
      </c>
      <c r="U119" s="188">
        <f>IF(T119&lt;0,T119+24,IF(T119&gt;24,T119-24,T119))</f>
        <v>5.5565336434683488</v>
      </c>
      <c r="V119" s="188">
        <f>U119-B119</f>
        <v>-6.458066356531651</v>
      </c>
      <c r="W119" s="188">
        <f>V119*15</f>
        <v>-96.87099534797477</v>
      </c>
      <c r="X119" s="188">
        <f>IF(W119&lt;0,W119+360,W119)</f>
        <v>263.12900465202523</v>
      </c>
      <c r="Y119" s="188">
        <f>-SIN(RADIANS(X119))</f>
        <v>0.99281803119476497</v>
      </c>
      <c r="Z119" s="188">
        <f>TAN(RADIANS(C119))*COS(RADIANS('Data Entry-V'!$F$8))-SIN(RADIANS('Data Entry-V'!$F$8))*COS(RADIANS(X119))</f>
        <v>2.1090417779673201E-2</v>
      </c>
      <c r="AA119" s="188">
        <f>DEGREES(ATAN2(Z119,Y119))</f>
        <v>88.783049692791238</v>
      </c>
      <c r="AB119" s="126">
        <f>IF(AA119&lt;0,AA119+360,AA119)</f>
        <v>88.783049692791238</v>
      </c>
      <c r="AC119" s="126">
        <f>DEGREES(ASIN((SIN(RADIANS('Data Entry-V'!$F$8))*SIN(RADIANS(C119)))+(COS(RADIANS('Data Entry-V'!$F$8))*COS(RADIANS(C119))*COS(RADIANS((U119-B119)*15)))))</f>
        <v>-9.4489108609313259</v>
      </c>
      <c r="AD119" s="188">
        <f>1/(COS((4*ATAN(1))/2-(AC119*(4*ATAN(1))/180)))</f>
        <v>-6.0913175443635792</v>
      </c>
      <c r="AE119" s="188" t="str">
        <f>IF(AC119&gt;10,AD119-((AD119-1)*(0.0018161+(AD119-1)*(0.002875+(AD119-1)*0.0008083))),"")</f>
        <v/>
      </c>
      <c r="AF119" s="87"/>
      <c r="AG119" s="87"/>
      <c r="AH119" s="87"/>
      <c r="AI119" s="87"/>
    </row>
    <row r="120" spans="1:35">
      <c r="A120" s="42" t="s">
        <v>187</v>
      </c>
      <c r="B120" s="187">
        <v>12.5808</v>
      </c>
      <c r="C120" s="187">
        <v>22.6294</v>
      </c>
      <c r="D120" s="172">
        <v>4.8099999999999996</v>
      </c>
      <c r="E120" s="172">
        <v>0</v>
      </c>
      <c r="F120" s="172">
        <v>-0.01</v>
      </c>
      <c r="G120" s="188">
        <f>IF($AH$3&gt;0.5,($AH$2+2415019)+((((HOUR($AH$3)*60)+MINUTE($AH$3))/1440+DAY($AH$2))-0.5)-DAY($AH$2),($AH$2+2415019)+((((HOUR($AH$3)*60)+MINUTE($AH$3))/1440+DAY($AH$2))-1.5)-DAY($AH$2)+1)</f>
        <v>2461051.9375</v>
      </c>
      <c r="H120" s="188">
        <f>IF((G120-ROUNDDOWN(G120,0))&lt;0.5,ROUNDDOWN(G120,0)-0.5,ROUNDDOWN(G120,0)+0.5)</f>
        <v>2461051.5</v>
      </c>
      <c r="I120" s="188">
        <f>$AH$3*24</f>
        <v>10.5</v>
      </c>
      <c r="J120" s="188">
        <f>G120-2451545</f>
        <v>9506.9375</v>
      </c>
      <c r="K120" s="188">
        <f>G120-2451545</f>
        <v>9506.9375</v>
      </c>
      <c r="L120" s="188">
        <f>AVERAGE(H120-2451545)/36525</f>
        <v>0.26027378507871324</v>
      </c>
      <c r="M120" s="188">
        <f>6.697374558+(0.065707485828*K120)+(1.0027379093*I120)+(0.0854103*L120)+(0.000025862*L120*L120)</f>
        <v>641.92531546860243</v>
      </c>
      <c r="N120" s="188">
        <f>M120-24*(ROUNDDOWN(M120/24,0))</f>
        <v>17.925315468602435</v>
      </c>
      <c r="O120" s="188">
        <f>125.04-0.052954*J120</f>
        <v>-378.39036837499998</v>
      </c>
      <c r="P120" s="188">
        <f>280.47+0.98565*J120</f>
        <v>9650.9829468749995</v>
      </c>
      <c r="Q120" s="188">
        <f>23.4393-0.0000004*J120</f>
        <v>23.435497224999999</v>
      </c>
      <c r="R120" s="188">
        <f>-0.000319*SIN(RADIANS(O120))-0.000024*SIN((RADIANS(2*P120)))</f>
        <v>1.1668967270040724E-4</v>
      </c>
      <c r="S120" s="188">
        <f>N120+R120*COS(RADIANS(Q120))</f>
        <v>17.925422532357235</v>
      </c>
      <c r="T120" s="188">
        <f>S120-'Data Entry-V'!$F$9/15</f>
        <v>29.556533643468349</v>
      </c>
      <c r="U120" s="188">
        <f>IF(T120&lt;0,T120+24,IF(T120&gt;24,T120-24,T120))</f>
        <v>5.5565336434683488</v>
      </c>
      <c r="V120" s="188">
        <f>U120-B120</f>
        <v>-7.0242663565316512</v>
      </c>
      <c r="W120" s="188">
        <f>V120*15</f>
        <v>-105.36399534797476</v>
      </c>
      <c r="X120" s="188">
        <f>IF(W120&lt;0,W120+360,W120)</f>
        <v>254.63600465202524</v>
      </c>
      <c r="Y120" s="188">
        <f>-SIN(RADIANS(X120))</f>
        <v>0.96426208926004398</v>
      </c>
      <c r="Z120" s="188">
        <f>TAN(RADIANS(C120))*COS(RADIANS('Data Entry-V'!$F$8))-SIN(RADIANS('Data Entry-V'!$F$8))*COS(RADIANS(X120))</f>
        <v>0.17481430281626475</v>
      </c>
      <c r="AA120" s="188">
        <f>DEGREES(ATAN2(Z120,Y120))</f>
        <v>79.724264698534697</v>
      </c>
      <c r="AB120" s="126">
        <f>IF(AA120&lt;0,AA120+360,AA120)</f>
        <v>79.724264698534697</v>
      </c>
      <c r="AC120" s="126">
        <f>DEGREES(ASIN((SIN(RADIANS('Data Entry-V'!$F$8))*SIN(RADIANS(C120)))+(COS(RADIANS('Data Entry-V'!$F$8))*COS(RADIANS(C120))*COS(RADIANS((U120-B120)*15)))))</f>
        <v>-25.239342456890075</v>
      </c>
      <c r="AD120" s="188">
        <f>1/(COS((4*ATAN(1))/2-(AC120*(4*ATAN(1))/180)))</f>
        <v>-2.3452130344247415</v>
      </c>
      <c r="AE120" s="188" t="str">
        <f>IF(AC120&gt;10,AD120-((AD120-1)*(0.0018161+(AD120-1)*(0.002875+(AD120-1)*0.0008083))),"")</f>
        <v/>
      </c>
      <c r="AF120" s="87"/>
      <c r="AG120" s="87"/>
      <c r="AH120" s="87"/>
      <c r="AI120" s="87"/>
    </row>
    <row r="121" spans="1:35">
      <c r="A121" s="42" t="s">
        <v>188</v>
      </c>
      <c r="B121" s="187">
        <v>12.634600000000001</v>
      </c>
      <c r="C121" s="187">
        <v>3.1823999999999999</v>
      </c>
      <c r="D121" s="172">
        <v>6.32</v>
      </c>
      <c r="E121" s="172">
        <v>0.01</v>
      </c>
      <c r="F121" s="172">
        <v>0.01</v>
      </c>
      <c r="G121" s="188">
        <f>IF($AH$3&gt;0.5,($AH$2+2415019)+((((HOUR($AH$3)*60)+MINUTE($AH$3))/1440+DAY($AH$2))-0.5)-DAY($AH$2),($AH$2+2415019)+((((HOUR($AH$3)*60)+MINUTE($AH$3))/1440+DAY($AH$2))-1.5)-DAY($AH$2)+1)</f>
        <v>2461051.9375</v>
      </c>
      <c r="H121" s="188">
        <f>IF((G121-ROUNDDOWN(G121,0))&lt;0.5,ROUNDDOWN(G121,0)-0.5,ROUNDDOWN(G121,0)+0.5)</f>
        <v>2461051.5</v>
      </c>
      <c r="I121" s="188">
        <f>$AH$3*24</f>
        <v>10.5</v>
      </c>
      <c r="J121" s="188">
        <f>G121-2451545</f>
        <v>9506.9375</v>
      </c>
      <c r="K121" s="188">
        <f>G121-2451545</f>
        <v>9506.9375</v>
      </c>
      <c r="L121" s="188">
        <f>AVERAGE(H121-2451545)/36525</f>
        <v>0.26027378507871324</v>
      </c>
      <c r="M121" s="188">
        <f>6.697374558+(0.065707485828*K121)+(1.0027379093*I121)+(0.0854103*L121)+(0.000025862*L121*L121)</f>
        <v>641.92531546860243</v>
      </c>
      <c r="N121" s="188">
        <f>M121-24*(ROUNDDOWN(M121/24,0))</f>
        <v>17.925315468602435</v>
      </c>
      <c r="O121" s="188">
        <f>125.04-0.052954*J121</f>
        <v>-378.39036837499998</v>
      </c>
      <c r="P121" s="188">
        <f>280.47+0.98565*J121</f>
        <v>9650.9829468749995</v>
      </c>
      <c r="Q121" s="188">
        <f>23.4393-0.0000004*J121</f>
        <v>23.435497224999999</v>
      </c>
      <c r="R121" s="188">
        <f>-0.000319*SIN(RADIANS(O121))-0.000024*SIN((RADIANS(2*P121)))</f>
        <v>1.1668967270040724E-4</v>
      </c>
      <c r="S121" s="188">
        <f>N121+R121*COS(RADIANS(Q121))</f>
        <v>17.925422532357235</v>
      </c>
      <c r="T121" s="188">
        <f>S121-'Data Entry-V'!$F$9/15</f>
        <v>29.556533643468349</v>
      </c>
      <c r="U121" s="188">
        <f>IF(T121&lt;0,T121+24,IF(T121&gt;24,T121-24,T121))</f>
        <v>5.5565336434683488</v>
      </c>
      <c r="V121" s="188">
        <f>U121-B121</f>
        <v>-7.0780663565316519</v>
      </c>
      <c r="W121" s="188">
        <f>V121*15</f>
        <v>-106.17099534797478</v>
      </c>
      <c r="X121" s="188">
        <f>IF(W121&lt;0,W121+360,W121)</f>
        <v>253.82900465202522</v>
      </c>
      <c r="Y121" s="188">
        <f>-SIN(RADIANS(X121))</f>
        <v>0.96043479536617737</v>
      </c>
      <c r="Z121" s="188">
        <f>TAN(RADIANS(C121))*COS(RADIANS('Data Entry-V'!$F$8))-SIN(RADIANS('Data Entry-V'!$F$8))*COS(RADIANS(X121))</f>
        <v>-0.12245902812593142</v>
      </c>
      <c r="AA121" s="188">
        <f>DEGREES(ATAN2(Z121,Y121))</f>
        <v>97.266219287182992</v>
      </c>
      <c r="AB121" s="126">
        <f>IF(AA121&lt;0,AA121+360,AA121)</f>
        <v>97.266219287182992</v>
      </c>
      <c r="AC121" s="126">
        <f>DEGREES(ASIN((SIN(RADIANS('Data Entry-V'!$F$8))*SIN(RADIANS(C121)))+(COS(RADIANS('Data Entry-V'!$F$8))*COS(RADIANS(C121))*COS(RADIANS((U121-B121)*15)))))</f>
        <v>-14.823798885426287</v>
      </c>
      <c r="AD121" s="188">
        <f>1/(COS((4*ATAN(1))/2-(AC121*(4*ATAN(1))/180)))</f>
        <v>-3.9085810370544025</v>
      </c>
      <c r="AE121" s="188" t="str">
        <f>IF(AC121&gt;10,AD121-((AD121-1)*(0.0018161+(AD121-1)*(0.002875+(AD121-1)*0.0008083))),"")</f>
        <v/>
      </c>
      <c r="AF121" s="87"/>
      <c r="AG121" s="87"/>
      <c r="AH121" s="87"/>
      <c r="AI121" s="87"/>
    </row>
    <row r="122" spans="1:35">
      <c r="A122" s="42" t="s">
        <v>189</v>
      </c>
      <c r="B122" s="187">
        <v>12.6981</v>
      </c>
      <c r="C122" s="187">
        <v>10.2356</v>
      </c>
      <c r="D122" s="172">
        <v>4.88</v>
      </c>
      <c r="E122" s="172">
        <v>0.09</v>
      </c>
      <c r="F122" s="172">
        <v>0.05</v>
      </c>
      <c r="G122" s="188">
        <f>IF($AH$3&gt;0.5,($AH$2+2415019)+((((HOUR($AH$3)*60)+MINUTE($AH$3))/1440+DAY($AH$2))-0.5)-DAY($AH$2),($AH$2+2415019)+((((HOUR($AH$3)*60)+MINUTE($AH$3))/1440+DAY($AH$2))-1.5)-DAY($AH$2)+1)</f>
        <v>2461051.9375</v>
      </c>
      <c r="H122" s="188">
        <f>IF((G122-ROUNDDOWN(G122,0))&lt;0.5,ROUNDDOWN(G122,0)-0.5,ROUNDDOWN(G122,0)+0.5)</f>
        <v>2461051.5</v>
      </c>
      <c r="I122" s="188">
        <f>$AH$3*24</f>
        <v>10.5</v>
      </c>
      <c r="J122" s="188">
        <f>G122-2451545</f>
        <v>9506.9375</v>
      </c>
      <c r="K122" s="188">
        <f>G122-2451545</f>
        <v>9506.9375</v>
      </c>
      <c r="L122" s="188">
        <f>AVERAGE(H122-2451545)/36525</f>
        <v>0.26027378507871324</v>
      </c>
      <c r="M122" s="188">
        <f>6.697374558+(0.065707485828*K122)+(1.0027379093*I122)+(0.0854103*L122)+(0.000025862*L122*L122)</f>
        <v>641.92531546860243</v>
      </c>
      <c r="N122" s="188">
        <f>M122-24*(ROUNDDOWN(M122/24,0))</f>
        <v>17.925315468602435</v>
      </c>
      <c r="O122" s="188">
        <f>125.04-0.052954*J122</f>
        <v>-378.39036837499998</v>
      </c>
      <c r="P122" s="188">
        <f>280.47+0.98565*J122</f>
        <v>9650.9829468749995</v>
      </c>
      <c r="Q122" s="188">
        <f>23.4393-0.0000004*J122</f>
        <v>23.435497224999999</v>
      </c>
      <c r="R122" s="188">
        <f>-0.000319*SIN(RADIANS(O122))-0.000024*SIN((RADIANS(2*P122)))</f>
        <v>1.1668967270040724E-4</v>
      </c>
      <c r="S122" s="188">
        <f>N122+R122*COS(RADIANS(Q122))</f>
        <v>17.925422532357235</v>
      </c>
      <c r="T122" s="188">
        <f>S122-'Data Entry-V'!$F$9/15</f>
        <v>29.556533643468349</v>
      </c>
      <c r="U122" s="188">
        <f>IF(T122&lt;0,T122+24,IF(T122&gt;24,T122-24,T122))</f>
        <v>5.5565336434683488</v>
      </c>
      <c r="V122" s="188">
        <f>U122-B122</f>
        <v>-7.1415663565316514</v>
      </c>
      <c r="W122" s="188">
        <f>V122*15</f>
        <v>-107.12349534797477</v>
      </c>
      <c r="X122" s="188">
        <f>IF(W122&lt;0,W122+360,W122)</f>
        <v>252.87650465202523</v>
      </c>
      <c r="Y122" s="188">
        <f>-SIN(RADIANS(X122))</f>
        <v>0.95567235697596342</v>
      </c>
      <c r="Z122" s="188">
        <f>TAN(RADIANS(C122))*COS(RADIANS('Data Entry-V'!$F$8))-SIN(RADIANS('Data Entry-V'!$F$8))*COS(RADIANS(X122))</f>
        <v>-3.1983942737886628E-2</v>
      </c>
      <c r="AA122" s="188">
        <f>DEGREES(ATAN2(Z122,Y122))</f>
        <v>91.91682974089818</v>
      </c>
      <c r="AB122" s="126">
        <f>IF(AA122&lt;0,AA122+360,AA122)</f>
        <v>91.91682974089818</v>
      </c>
      <c r="AC122" s="126">
        <f>DEGREES(ASIN((SIN(RADIANS('Data Entry-V'!$F$8))*SIN(RADIANS(C122)))+(COS(RADIANS('Data Entry-V'!$F$8))*COS(RADIANS(C122))*COS(RADIANS((U122-B122)*15)))))</f>
        <v>-19.781558390944745</v>
      </c>
      <c r="AD122" s="188">
        <f>1/(COS((4*ATAN(1))/2-(AC122*(4*ATAN(1))/180)))</f>
        <v>-2.9547765734642244</v>
      </c>
      <c r="AE122" s="188" t="str">
        <f>IF(AC122&gt;10,AD122-((AD122-1)*(0.0018161+(AD122-1)*(0.002875+(AD122-1)*0.0008083))),"")</f>
        <v/>
      </c>
      <c r="AF122" s="87"/>
      <c r="AG122" s="87"/>
      <c r="AH122" s="87"/>
      <c r="AI122" s="87"/>
    </row>
    <row r="123" spans="1:35">
      <c r="A123" s="42" t="s">
        <v>190</v>
      </c>
      <c r="B123" s="187">
        <v>13.3142</v>
      </c>
      <c r="C123" s="187">
        <v>3.6876000000000002</v>
      </c>
      <c r="D123" s="172">
        <v>6.62</v>
      </c>
      <c r="E123" s="172">
        <v>0.06</v>
      </c>
      <c r="F123" s="172">
        <v>0.02</v>
      </c>
      <c r="G123" s="188">
        <f>IF($AH$3&gt;0.5,($AH$2+2415019)+((((HOUR($AH$3)*60)+MINUTE($AH$3))/1440+DAY($AH$2))-0.5)-DAY($AH$2),($AH$2+2415019)+((((HOUR($AH$3)*60)+MINUTE($AH$3))/1440+DAY($AH$2))-1.5)-DAY($AH$2)+1)</f>
        <v>2461051.9375</v>
      </c>
      <c r="H123" s="188">
        <f>IF((G123-ROUNDDOWN(G123,0))&lt;0.5,ROUNDDOWN(G123,0)-0.5,ROUNDDOWN(G123,0)+0.5)</f>
        <v>2461051.5</v>
      </c>
      <c r="I123" s="188">
        <f>$AH$3*24</f>
        <v>10.5</v>
      </c>
      <c r="J123" s="188">
        <f>G123-2451545</f>
        <v>9506.9375</v>
      </c>
      <c r="K123" s="188">
        <f>G123-2451545</f>
        <v>9506.9375</v>
      </c>
      <c r="L123" s="188">
        <f>AVERAGE(H123-2451545)/36525</f>
        <v>0.26027378507871324</v>
      </c>
      <c r="M123" s="188">
        <f>6.697374558+(0.065707485828*K123)+(1.0027379093*I123)+(0.0854103*L123)+(0.000025862*L123*L123)</f>
        <v>641.92531546860243</v>
      </c>
      <c r="N123" s="188">
        <f>M123-24*(ROUNDDOWN(M123/24,0))</f>
        <v>17.925315468602435</v>
      </c>
      <c r="O123" s="188">
        <f>125.04-0.052954*J123</f>
        <v>-378.39036837499998</v>
      </c>
      <c r="P123" s="188">
        <f>280.47+0.98565*J123</f>
        <v>9650.9829468749995</v>
      </c>
      <c r="Q123" s="188">
        <f>23.4393-0.0000004*J123</f>
        <v>23.435497224999999</v>
      </c>
      <c r="R123" s="188">
        <f>-0.000319*SIN(RADIANS(O123))-0.000024*SIN((RADIANS(2*P123)))</f>
        <v>1.1668967270040724E-4</v>
      </c>
      <c r="S123" s="188">
        <f>N123+R123*COS(RADIANS(Q123))</f>
        <v>17.925422532357235</v>
      </c>
      <c r="T123" s="188">
        <f>S123-'Data Entry-V'!$F$9/15</f>
        <v>29.556533643468349</v>
      </c>
      <c r="U123" s="188">
        <f>IF(T123&lt;0,T123+24,IF(T123&gt;24,T123-24,T123))</f>
        <v>5.5565336434683488</v>
      </c>
      <c r="V123" s="188">
        <f>U123-B123</f>
        <v>-7.7576663565316508</v>
      </c>
      <c r="W123" s="188">
        <f>V123*15</f>
        <v>-116.36499534797477</v>
      </c>
      <c r="X123" s="188">
        <f>IF(W123&lt;0,W123+360,W123)</f>
        <v>243.63500465202523</v>
      </c>
      <c r="Y123" s="188">
        <f>-SIN(RADIANS(X123))</f>
        <v>0.89598324133380758</v>
      </c>
      <c r="Z123" s="188">
        <f>TAN(RADIANS(C123))*COS(RADIANS('Data Entry-V'!$F$8))-SIN(RADIANS('Data Entry-V'!$F$8))*COS(RADIANS(X123))</f>
        <v>-0.21464145391967868</v>
      </c>
      <c r="AA123" s="188">
        <f>DEGREES(ATAN2(Z123,Y123))</f>
        <v>103.47187615587005</v>
      </c>
      <c r="AB123" s="126">
        <f>IF(AA123&lt;0,AA123+360,AA123)</f>
        <v>103.47187615587005</v>
      </c>
      <c r="AC123" s="126">
        <f>DEGREES(ASIN((SIN(RADIANS('Data Entry-V'!$F$8))*SIN(RADIANS(C123)))+(COS(RADIANS('Data Entry-V'!$F$8))*COS(RADIANS(C123))*COS(RADIANS((U123-B123)*15)))))</f>
        <v>-23.157579953034663</v>
      </c>
      <c r="AD123" s="188">
        <f>1/(COS((4*ATAN(1))/2-(AC123*(4*ATAN(1))/180)))</f>
        <v>-2.5428385531696414</v>
      </c>
      <c r="AE123" s="188" t="str">
        <f>IF(AC123&gt;10,AD123-((AD123-1)*(0.0018161+(AD123-1)*(0.002875+(AD123-1)*0.0008083))),"")</f>
        <v/>
      </c>
      <c r="AF123" s="87"/>
      <c r="AG123" s="87"/>
      <c r="AH123" s="87"/>
      <c r="AI123" s="87"/>
    </row>
    <row r="124" spans="1:35">
      <c r="A124" s="42" t="s">
        <v>191</v>
      </c>
      <c r="B124" s="187">
        <v>13.361599999999999</v>
      </c>
      <c r="C124" s="187">
        <v>2.0872000000000002</v>
      </c>
      <c r="D124" s="172">
        <v>5.7</v>
      </c>
      <c r="E124" s="172">
        <v>0.05</v>
      </c>
      <c r="F124" s="172">
        <v>0.02</v>
      </c>
      <c r="G124" s="188">
        <f>IF($AH$3&gt;0.5,($AH$2+2415019)+((((HOUR($AH$3)*60)+MINUTE($AH$3))/1440+DAY($AH$2))-0.5)-DAY($AH$2),($AH$2+2415019)+((((HOUR($AH$3)*60)+MINUTE($AH$3))/1440+DAY($AH$2))-1.5)-DAY($AH$2)+1)</f>
        <v>2461051.9375</v>
      </c>
      <c r="H124" s="188">
        <f>IF((G124-ROUNDDOWN(G124,0))&lt;0.5,ROUNDDOWN(G124,0)-0.5,ROUNDDOWN(G124,0)+0.5)</f>
        <v>2461051.5</v>
      </c>
      <c r="I124" s="188">
        <f>$AH$3*24</f>
        <v>10.5</v>
      </c>
      <c r="J124" s="188">
        <f>G124-2451545</f>
        <v>9506.9375</v>
      </c>
      <c r="K124" s="188">
        <f>G124-2451545</f>
        <v>9506.9375</v>
      </c>
      <c r="L124" s="188">
        <f>AVERAGE(H124-2451545)/36525</f>
        <v>0.26027378507871324</v>
      </c>
      <c r="M124" s="188">
        <f>6.697374558+(0.065707485828*K124)+(1.0027379093*I124)+(0.0854103*L124)+(0.000025862*L124*L124)</f>
        <v>641.92531546860243</v>
      </c>
      <c r="N124" s="188">
        <f>M124-24*(ROUNDDOWN(M124/24,0))</f>
        <v>17.925315468602435</v>
      </c>
      <c r="O124" s="188">
        <f>125.04-0.052954*J124</f>
        <v>-378.39036837499998</v>
      </c>
      <c r="P124" s="188">
        <f>280.47+0.98565*J124</f>
        <v>9650.9829468749995</v>
      </c>
      <c r="Q124" s="188">
        <f>23.4393-0.0000004*J124</f>
        <v>23.435497224999999</v>
      </c>
      <c r="R124" s="188">
        <f>-0.000319*SIN(RADIANS(O124))-0.000024*SIN((RADIANS(2*P124)))</f>
        <v>1.1668967270040724E-4</v>
      </c>
      <c r="S124" s="188">
        <f>N124+R124*COS(RADIANS(Q124))</f>
        <v>17.925422532357235</v>
      </c>
      <c r="T124" s="188">
        <f>S124-'Data Entry-V'!$F$9/15</f>
        <v>29.556533643468349</v>
      </c>
      <c r="U124" s="188">
        <f>IF(T124&lt;0,T124+24,IF(T124&gt;24,T124-24,T124))</f>
        <v>5.5565336434683488</v>
      </c>
      <c r="V124" s="188">
        <f>U124-B124</f>
        <v>-7.8050663565316505</v>
      </c>
      <c r="W124" s="188">
        <f>V124*15</f>
        <v>-117.07599534797475</v>
      </c>
      <c r="X124" s="188">
        <f>IF(W124&lt;0,W124+360,W124)</f>
        <v>242.92400465202525</v>
      </c>
      <c r="Y124" s="188">
        <f>-SIN(RADIANS(X124))</f>
        <v>0.89040358166871425</v>
      </c>
      <c r="Z124" s="188">
        <f>TAN(RADIANS(C124))*COS(RADIANS('Data Entry-V'!$F$8))-SIN(RADIANS('Data Entry-V'!$F$8))*COS(RADIANS(X124))</f>
        <v>-0.24370104924072802</v>
      </c>
      <c r="AA124" s="188">
        <f>DEGREES(ATAN2(Z124,Y124))</f>
        <v>105.30683626529914</v>
      </c>
      <c r="AB124" s="126">
        <f>IF(AA124&lt;0,AA124+360,AA124)</f>
        <v>105.30683626529914</v>
      </c>
      <c r="AC124" s="126">
        <f>DEGREES(ASIN((SIN(RADIANS('Data Entry-V'!$F$8))*SIN(RADIANS(C124)))+(COS(RADIANS('Data Entry-V'!$F$8))*COS(RADIANS(C124))*COS(RADIANS((U124-B124)*15)))))</f>
        <v>-22.699855058168271</v>
      </c>
      <c r="AD124" s="188">
        <f>1/(COS((4*ATAN(1))/2-(AC124*(4*ATAN(1))/180)))</f>
        <v>-2.5913200049638068</v>
      </c>
      <c r="AE124" s="188" t="str">
        <f>IF(AC124&gt;10,AD124-((AD124-1)*(0.0018161+(AD124-1)*(0.002875+(AD124-1)*0.0008083))),"")</f>
        <v/>
      </c>
      <c r="AF124" s="87"/>
      <c r="AG124" s="87"/>
      <c r="AH124" s="87"/>
      <c r="AI124" s="87"/>
    </row>
    <row r="125" spans="1:35">
      <c r="A125" s="42" t="s">
        <v>192</v>
      </c>
      <c r="B125" s="187">
        <v>13.420500000000001</v>
      </c>
      <c r="C125" s="187">
        <v>54.987900000000003</v>
      </c>
      <c r="D125" s="172">
        <v>4.03</v>
      </c>
      <c r="E125" s="172">
        <v>0.15</v>
      </c>
      <c r="F125" s="172">
        <v>0.09</v>
      </c>
      <c r="G125" s="188">
        <f>IF($AH$3&gt;0.5,($AH$2+2415019)+((((HOUR($AH$3)*60)+MINUTE($AH$3))/1440+DAY($AH$2))-0.5)-DAY($AH$2),($AH$2+2415019)+((((HOUR($AH$3)*60)+MINUTE($AH$3))/1440+DAY($AH$2))-1.5)-DAY($AH$2)+1)</f>
        <v>2461051.9375</v>
      </c>
      <c r="H125" s="188">
        <f>IF((G125-ROUNDDOWN(G125,0))&lt;0.5,ROUNDDOWN(G125,0)-0.5,ROUNDDOWN(G125,0)+0.5)</f>
        <v>2461051.5</v>
      </c>
      <c r="I125" s="188">
        <f>$AH$3*24</f>
        <v>10.5</v>
      </c>
      <c r="J125" s="188">
        <f>G125-2451545</f>
        <v>9506.9375</v>
      </c>
      <c r="K125" s="188">
        <f>G125-2451545</f>
        <v>9506.9375</v>
      </c>
      <c r="L125" s="188">
        <f>AVERAGE(H125-2451545)/36525</f>
        <v>0.26027378507871324</v>
      </c>
      <c r="M125" s="188">
        <f>6.697374558+(0.065707485828*K125)+(1.0027379093*I125)+(0.0854103*L125)+(0.000025862*L125*L125)</f>
        <v>641.92531546860243</v>
      </c>
      <c r="N125" s="188">
        <f>M125-24*(ROUNDDOWN(M125/24,0))</f>
        <v>17.925315468602435</v>
      </c>
      <c r="O125" s="188">
        <f>125.04-0.052954*J125</f>
        <v>-378.39036837499998</v>
      </c>
      <c r="P125" s="188">
        <f>280.47+0.98565*J125</f>
        <v>9650.9829468749995</v>
      </c>
      <c r="Q125" s="188">
        <f>23.4393-0.0000004*J125</f>
        <v>23.435497224999999</v>
      </c>
      <c r="R125" s="188">
        <f>-0.000319*SIN(RADIANS(O125))-0.000024*SIN((RADIANS(2*P125)))</f>
        <v>1.1668967270040724E-4</v>
      </c>
      <c r="S125" s="188">
        <f>N125+R125*COS(RADIANS(Q125))</f>
        <v>17.925422532357235</v>
      </c>
      <c r="T125" s="188">
        <f>S125-'Data Entry-V'!$F$9/15</f>
        <v>29.556533643468349</v>
      </c>
      <c r="U125" s="188">
        <f>IF(T125&lt;0,T125+24,IF(T125&gt;24,T125-24,T125))</f>
        <v>5.5565336434683488</v>
      </c>
      <c r="V125" s="188">
        <f>U125-B125</f>
        <v>-7.8639663565316518</v>
      </c>
      <c r="W125" s="188">
        <f>V125*15</f>
        <v>-117.95949534797478</v>
      </c>
      <c r="X125" s="188">
        <f>IF(W125&lt;0,W125+360,W125)</f>
        <v>242.04050465202522</v>
      </c>
      <c r="Y125" s="188">
        <f>-SIN(RADIANS(X125))</f>
        <v>0.88327926020953595</v>
      </c>
      <c r="Z125" s="188">
        <f>TAN(RADIANS(C125))*COS(RADIANS('Data Entry-V'!$F$8))-SIN(RADIANS('Data Entry-V'!$F$8))*COS(RADIANS(X125))</f>
        <v>0.86148245235190091</v>
      </c>
      <c r="AA125" s="188">
        <f>DEGREES(ATAN2(Z125,Y125))</f>
        <v>45.715742513689605</v>
      </c>
      <c r="AB125" s="126">
        <f>IF(AA125&lt;0,AA125+360,AA125)</f>
        <v>45.715742513689605</v>
      </c>
      <c r="AC125" s="126">
        <f>DEGREES(ASIN((SIN(RADIANS('Data Entry-V'!$F$8))*SIN(RADIANS(C125)))+(COS(RADIANS('Data Entry-V'!$F$8))*COS(RADIANS(C125))*COS(RADIANS((U125-B125)*15)))))</f>
        <v>-44.93498240360362</v>
      </c>
      <c r="AD125" s="188">
        <f>1/(COS((4*ATAN(1))/2-(AC125*(4*ATAN(1))/180)))</f>
        <v>-1.4158211065238084</v>
      </c>
      <c r="AE125" s="188" t="str">
        <f>IF(AC125&gt;10,AD125-((AD125-1)*(0.0018161+(AD125-1)*(0.002875+(AD125-1)*0.0008083))),"")</f>
        <v/>
      </c>
      <c r="AF125" s="87"/>
      <c r="AG125" s="87"/>
      <c r="AH125" s="87"/>
      <c r="AI125" s="87"/>
    </row>
    <row r="126" spans="1:35">
      <c r="A126" s="42" t="s">
        <v>193</v>
      </c>
      <c r="B126" s="187">
        <v>13.574199999999999</v>
      </c>
      <c r="C126" s="187">
        <v>49.016100000000002</v>
      </c>
      <c r="D126" s="172">
        <v>4.7</v>
      </c>
      <c r="E126" s="172">
        <v>0.12</v>
      </c>
      <c r="F126" s="172">
        <v>0.11</v>
      </c>
      <c r="G126" s="188">
        <f>IF($AH$3&gt;0.5,($AH$2+2415019)+((((HOUR($AH$3)*60)+MINUTE($AH$3))/1440+DAY($AH$2))-0.5)-DAY($AH$2),($AH$2+2415019)+((((HOUR($AH$3)*60)+MINUTE($AH$3))/1440+DAY($AH$2))-1.5)-DAY($AH$2)+1)</f>
        <v>2461051.9375</v>
      </c>
      <c r="H126" s="188">
        <f>IF((G126-ROUNDDOWN(G126,0))&lt;0.5,ROUNDDOWN(G126,0)-0.5,ROUNDDOWN(G126,0)+0.5)</f>
        <v>2461051.5</v>
      </c>
      <c r="I126" s="188">
        <f>$AH$3*24</f>
        <v>10.5</v>
      </c>
      <c r="J126" s="188">
        <f>G126-2451545</f>
        <v>9506.9375</v>
      </c>
      <c r="K126" s="188">
        <f>G126-2451545</f>
        <v>9506.9375</v>
      </c>
      <c r="L126" s="188">
        <f>AVERAGE(H126-2451545)/36525</f>
        <v>0.26027378507871324</v>
      </c>
      <c r="M126" s="188">
        <f>6.697374558+(0.065707485828*K126)+(1.0027379093*I126)+(0.0854103*L126)+(0.000025862*L126*L126)</f>
        <v>641.92531546860243</v>
      </c>
      <c r="N126" s="188">
        <f>M126-24*(ROUNDDOWN(M126/24,0))</f>
        <v>17.925315468602435</v>
      </c>
      <c r="O126" s="188">
        <f>125.04-0.052954*J126</f>
        <v>-378.39036837499998</v>
      </c>
      <c r="P126" s="188">
        <f>280.47+0.98565*J126</f>
        <v>9650.9829468749995</v>
      </c>
      <c r="Q126" s="188">
        <f>23.4393-0.0000004*J126</f>
        <v>23.435497224999999</v>
      </c>
      <c r="R126" s="188">
        <f>-0.000319*SIN(RADIANS(O126))-0.000024*SIN((RADIANS(2*P126)))</f>
        <v>1.1668967270040724E-4</v>
      </c>
      <c r="S126" s="188">
        <f>N126+R126*COS(RADIANS(Q126))</f>
        <v>17.925422532357235</v>
      </c>
      <c r="T126" s="188">
        <f>S126-'Data Entry-V'!$F$9/15</f>
        <v>29.556533643468349</v>
      </c>
      <c r="U126" s="188">
        <f>IF(T126&lt;0,T126+24,IF(T126&gt;24,T126-24,T126))</f>
        <v>5.5565336434683488</v>
      </c>
      <c r="V126" s="188">
        <f>U126-B126</f>
        <v>-8.0176663565316506</v>
      </c>
      <c r="W126" s="188">
        <f>V126*15</f>
        <v>-120.26499534797476</v>
      </c>
      <c r="X126" s="188">
        <f>IF(W126&lt;0,W126+360,W126)</f>
        <v>239.73500465202522</v>
      </c>
      <c r="Y126" s="188">
        <f>-SIN(RADIANS(X126))</f>
        <v>0.86370362880530427</v>
      </c>
      <c r="Z126" s="188">
        <f>TAN(RADIANS(C126))*COS(RADIANS('Data Entry-V'!$F$8))-SIN(RADIANS('Data Entry-V'!$F$8))*COS(RADIANS(X126))</f>
        <v>0.61911506476693767</v>
      </c>
      <c r="AA126" s="188">
        <f>DEGREES(ATAN2(Z126,Y126))</f>
        <v>54.36650670516574</v>
      </c>
      <c r="AB126" s="126">
        <f>IF(AA126&lt;0,AA126+360,AA126)</f>
        <v>54.36650670516574</v>
      </c>
      <c r="AC126" s="126">
        <f>DEGREES(ASIN((SIN(RADIANS('Data Entry-V'!$F$8))*SIN(RADIANS(C126)))+(COS(RADIANS('Data Entry-V'!$F$8))*COS(RADIANS(C126))*COS(RADIANS((U126-B126)*15)))))</f>
        <v>-45.816789350844367</v>
      </c>
      <c r="AD126" s="188">
        <f>1/(COS((4*ATAN(1))/2-(AC126*(4*ATAN(1))/180)))</f>
        <v>-1.3944767377306428</v>
      </c>
      <c r="AE126" s="188" t="str">
        <f>IF(AC126&gt;10,AD126-((AD126-1)*(0.0018161+(AD126-1)*(0.002875+(AD126-1)*0.0008083))),"")</f>
        <v/>
      </c>
      <c r="AF126" s="87"/>
      <c r="AG126" s="87"/>
      <c r="AH126" s="87"/>
      <c r="AI126" s="87"/>
    </row>
    <row r="127" spans="1:35">
      <c r="A127" s="42" t="s">
        <v>194</v>
      </c>
      <c r="B127" s="187">
        <v>14.0275</v>
      </c>
      <c r="C127" s="187">
        <v>1.5444</v>
      </c>
      <c r="D127" s="172">
        <v>4.2699999999999996</v>
      </c>
      <c r="E127" s="172">
        <v>0.09</v>
      </c>
      <c r="F127" s="172">
        <v>0.14000000000000001</v>
      </c>
      <c r="G127" s="188">
        <f>IF($AH$3&gt;0.5,($AH$2+2415019)+((((HOUR($AH$3)*60)+MINUTE($AH$3))/1440+DAY($AH$2))-0.5)-DAY($AH$2),($AH$2+2415019)+((((HOUR($AH$3)*60)+MINUTE($AH$3))/1440+DAY($AH$2))-1.5)-DAY($AH$2)+1)</f>
        <v>2461051.9375</v>
      </c>
      <c r="H127" s="188">
        <f>IF((G127-ROUNDDOWN(G127,0))&lt;0.5,ROUNDDOWN(G127,0)-0.5,ROUNDDOWN(G127,0)+0.5)</f>
        <v>2461051.5</v>
      </c>
      <c r="I127" s="188">
        <f>$AH$3*24</f>
        <v>10.5</v>
      </c>
      <c r="J127" s="188">
        <f>G127-2451545</f>
        <v>9506.9375</v>
      </c>
      <c r="K127" s="188">
        <f>G127-2451545</f>
        <v>9506.9375</v>
      </c>
      <c r="L127" s="188">
        <f>AVERAGE(H127-2451545)/36525</f>
        <v>0.26027378507871324</v>
      </c>
      <c r="M127" s="188">
        <f>6.697374558+(0.065707485828*K127)+(1.0027379093*I127)+(0.0854103*L127)+(0.000025862*L127*L127)</f>
        <v>641.92531546860243</v>
      </c>
      <c r="N127" s="188">
        <f>M127-24*(ROUNDDOWN(M127/24,0))</f>
        <v>17.925315468602435</v>
      </c>
      <c r="O127" s="188">
        <f>125.04-0.052954*J127</f>
        <v>-378.39036837499998</v>
      </c>
      <c r="P127" s="188">
        <f>280.47+0.98565*J127</f>
        <v>9650.9829468749995</v>
      </c>
      <c r="Q127" s="188">
        <f>23.4393-0.0000004*J127</f>
        <v>23.435497224999999</v>
      </c>
      <c r="R127" s="188">
        <f>-0.000319*SIN(RADIANS(O127))-0.000024*SIN((RADIANS(2*P127)))</f>
        <v>1.1668967270040724E-4</v>
      </c>
      <c r="S127" s="188">
        <f>N127+R127*COS(RADIANS(Q127))</f>
        <v>17.925422532357235</v>
      </c>
      <c r="T127" s="188">
        <f>S127-'Data Entry-V'!$F$9/15</f>
        <v>29.556533643468349</v>
      </c>
      <c r="U127" s="188">
        <f>IF(T127&lt;0,T127+24,IF(T127&gt;24,T127-24,T127))</f>
        <v>5.5565336434683488</v>
      </c>
      <c r="V127" s="188">
        <f>U127-B127</f>
        <v>-8.4709663565316511</v>
      </c>
      <c r="W127" s="188">
        <f>V127*15</f>
        <v>-127.06449534797477</v>
      </c>
      <c r="X127" s="188">
        <f>IF(W127&lt;0,W127+360,W127)</f>
        <v>232.93550465202523</v>
      </c>
      <c r="Y127" s="188">
        <f>-SIN(RADIANS(X127))</f>
        <v>0.79795756741750945</v>
      </c>
      <c r="Z127" s="188">
        <f>TAN(RADIANS(C127))*COS(RADIANS('Data Entry-V'!$F$8))-SIN(RADIANS('Data Entry-V'!$F$8))*COS(RADIANS(X127))</f>
        <v>-0.33974096376370333</v>
      </c>
      <c r="AA127" s="188">
        <f>DEGREES(ATAN2(Z127,Y127))</f>
        <v>113.0625197385875</v>
      </c>
      <c r="AB127" s="126">
        <f>IF(AA127&lt;0,AA127+360,AA127)</f>
        <v>113.0625197385875</v>
      </c>
      <c r="AC127" s="126">
        <f>DEGREES(ASIN((SIN(RADIANS('Data Entry-V'!$F$8))*SIN(RADIANS(C127)))+(COS(RADIANS('Data Entry-V'!$F$8))*COS(RADIANS(C127))*COS(RADIANS((U127-B127)*15)))))</f>
        <v>-29.893113760979105</v>
      </c>
      <c r="AD127" s="188">
        <f>1/(COS((4*ATAN(1))/2-(AC127*(4*ATAN(1))/180)))</f>
        <v>-2.0064867873367969</v>
      </c>
      <c r="AE127" s="188" t="str">
        <f>IF(AC127&gt;10,AD127-((AD127-1)*(0.0018161+(AD127-1)*(0.002875+(AD127-1)*0.0008083))),"")</f>
        <v/>
      </c>
      <c r="AF127" s="87"/>
      <c r="AG127" s="87"/>
      <c r="AH127" s="87"/>
      <c r="AI127" s="87"/>
    </row>
    <row r="128" spans="1:35">
      <c r="A128" s="42" t="s">
        <v>195</v>
      </c>
      <c r="B128" s="187">
        <v>15.756500000000001</v>
      </c>
      <c r="C128" s="187">
        <v>5.4473000000000003</v>
      </c>
      <c r="D128" s="172">
        <v>5.58</v>
      </c>
      <c r="E128" s="172">
        <v>0.04</v>
      </c>
      <c r="F128" s="172">
        <v>0.03</v>
      </c>
      <c r="G128" s="188">
        <f>IF($AH$3&gt;0.5,($AH$2+2415019)+((((HOUR($AH$3)*60)+MINUTE($AH$3))/1440+DAY($AH$2))-0.5)-DAY($AH$2),($AH$2+2415019)+((((HOUR($AH$3)*60)+MINUTE($AH$3))/1440+DAY($AH$2))-1.5)-DAY($AH$2)+1)</f>
        <v>2461051.9375</v>
      </c>
      <c r="H128" s="188">
        <f>IF((G128-ROUNDDOWN(G128,0))&lt;0.5,ROUNDDOWN(G128,0)-0.5,ROUNDDOWN(G128,0)+0.5)</f>
        <v>2461051.5</v>
      </c>
      <c r="I128" s="188">
        <f>$AH$3*24</f>
        <v>10.5</v>
      </c>
      <c r="J128" s="188">
        <f>G128-2451545</f>
        <v>9506.9375</v>
      </c>
      <c r="K128" s="188">
        <f>G128-2451545</f>
        <v>9506.9375</v>
      </c>
      <c r="L128" s="188">
        <f>AVERAGE(H128-2451545)/36525</f>
        <v>0.26027378507871324</v>
      </c>
      <c r="M128" s="188">
        <f>6.697374558+(0.065707485828*K128)+(1.0027379093*I128)+(0.0854103*L128)+(0.000025862*L128*L128)</f>
        <v>641.92531546860243</v>
      </c>
      <c r="N128" s="188">
        <f>M128-24*(ROUNDDOWN(M128/24,0))</f>
        <v>17.925315468602435</v>
      </c>
      <c r="O128" s="188">
        <f>125.04-0.052954*J128</f>
        <v>-378.39036837499998</v>
      </c>
      <c r="P128" s="188">
        <f>280.47+0.98565*J128</f>
        <v>9650.9829468749995</v>
      </c>
      <c r="Q128" s="188">
        <f>23.4393-0.0000004*J128</f>
        <v>23.435497224999999</v>
      </c>
      <c r="R128" s="188">
        <f>-0.000319*SIN(RADIANS(O128))-0.000024*SIN((RADIANS(2*P128)))</f>
        <v>1.1668967270040724E-4</v>
      </c>
      <c r="S128" s="188">
        <f>N128+R128*COS(RADIANS(Q128))</f>
        <v>17.925422532357235</v>
      </c>
      <c r="T128" s="188">
        <f>S128-'Data Entry-V'!$F$9/15</f>
        <v>29.556533643468349</v>
      </c>
      <c r="U128" s="188">
        <f>IF(T128&lt;0,T128+24,IF(T128&gt;24,T128-24,T128))</f>
        <v>5.5565336434683488</v>
      </c>
      <c r="V128" s="188">
        <f>U128-B128</f>
        <v>-10.199966356531652</v>
      </c>
      <c r="W128" s="188">
        <f>V128*15</f>
        <v>-152.99949534797477</v>
      </c>
      <c r="X128" s="188">
        <f>IF(W128&lt;0,W128+360,W128)</f>
        <v>207.00050465202523</v>
      </c>
      <c r="Y128" s="188">
        <f>-SIN(RADIANS(X128))</f>
        <v>0.45399834756432161</v>
      </c>
      <c r="Z128" s="188">
        <f>TAN(RADIANS(C128))*COS(RADIANS('Data Entry-V'!$F$8))-SIN(RADIANS('Data Entry-V'!$F$8))*COS(RADIANS(X128))</f>
        <v>-0.45782137010981283</v>
      </c>
      <c r="AA128" s="188">
        <f>DEGREES(ATAN2(Z128,Y128))</f>
        <v>135.24022487020599</v>
      </c>
      <c r="AB128" s="126">
        <f>IF(AA128&lt;0,AA128+360,AA128)</f>
        <v>135.24022487020599</v>
      </c>
      <c r="AC128" s="126">
        <f>DEGREES(ASIN((SIN(RADIANS('Data Entry-V'!$F$8))*SIN(RADIANS(C128)))+(COS(RADIANS('Data Entry-V'!$F$8))*COS(RADIANS(C128))*COS(RADIANS((U128-B128)*15)))))</f>
        <v>-50.070256563341701</v>
      </c>
      <c r="AD128" s="188">
        <f>1/(COS((4*ATAN(1))/2-(AC128*(4*ATAN(1))/180)))</f>
        <v>-1.3040665017207347</v>
      </c>
      <c r="AE128" s="188" t="str">
        <f>IF(AC128&gt;10,AD128-((AD128-1)*(0.0018161+(AD128-1)*(0.002875+(AD128-1)*0.0008083))),"")</f>
        <v/>
      </c>
      <c r="AF128" s="87"/>
      <c r="AG128" s="87"/>
      <c r="AH128" s="87"/>
      <c r="AI128" s="87"/>
    </row>
    <row r="129" spans="1:35">
      <c r="A129" s="42" t="s">
        <v>196</v>
      </c>
      <c r="B129" s="187">
        <v>16.0383</v>
      </c>
      <c r="C129" s="187">
        <v>22.804600000000001</v>
      </c>
      <c r="D129" s="172">
        <v>4.83</v>
      </c>
      <c r="E129" s="172">
        <v>7.0000000000000007E-2</v>
      </c>
      <c r="F129" s="172">
        <v>0.05</v>
      </c>
      <c r="G129" s="188">
        <f>IF($AH$3&gt;0.5,($AH$2+2415019)+((((HOUR($AH$3)*60)+MINUTE($AH$3))/1440+DAY($AH$2))-0.5)-DAY($AH$2),($AH$2+2415019)+((((HOUR($AH$3)*60)+MINUTE($AH$3))/1440+DAY($AH$2))-1.5)-DAY($AH$2)+1)</f>
        <v>2461051.9375</v>
      </c>
      <c r="H129" s="188">
        <f>IF((G129-ROUNDDOWN(G129,0))&lt;0.5,ROUNDDOWN(G129,0)-0.5,ROUNDDOWN(G129,0)+0.5)</f>
        <v>2461051.5</v>
      </c>
      <c r="I129" s="188">
        <f>$AH$3*24</f>
        <v>10.5</v>
      </c>
      <c r="J129" s="188">
        <f>G129-2451545</f>
        <v>9506.9375</v>
      </c>
      <c r="K129" s="188">
        <f>G129-2451545</f>
        <v>9506.9375</v>
      </c>
      <c r="L129" s="188">
        <f>AVERAGE(H129-2451545)/36525</f>
        <v>0.26027378507871324</v>
      </c>
      <c r="M129" s="188">
        <f>6.697374558+(0.065707485828*K129)+(1.0027379093*I129)+(0.0854103*L129)+(0.000025862*L129*L129)</f>
        <v>641.92531546860243</v>
      </c>
      <c r="N129" s="188">
        <f>M129-24*(ROUNDDOWN(M129/24,0))</f>
        <v>17.925315468602435</v>
      </c>
      <c r="O129" s="188">
        <f>125.04-0.052954*J129</f>
        <v>-378.39036837499998</v>
      </c>
      <c r="P129" s="188">
        <f>280.47+0.98565*J129</f>
        <v>9650.9829468749995</v>
      </c>
      <c r="Q129" s="188">
        <f>23.4393-0.0000004*J129</f>
        <v>23.435497224999999</v>
      </c>
      <c r="R129" s="188">
        <f>-0.000319*SIN(RADIANS(O129))-0.000024*SIN((RADIANS(2*P129)))</f>
        <v>1.1668967270040724E-4</v>
      </c>
      <c r="S129" s="188">
        <f>N129+R129*COS(RADIANS(Q129))</f>
        <v>17.925422532357235</v>
      </c>
      <c r="T129" s="188">
        <f>S129-'Data Entry-V'!$F$9/15</f>
        <v>29.556533643468349</v>
      </c>
      <c r="U129" s="188">
        <f>IF(T129&lt;0,T129+24,IF(T129&gt;24,T129-24,T129))</f>
        <v>5.5565336434683488</v>
      </c>
      <c r="V129" s="188">
        <f>U129-B129</f>
        <v>-10.481766356531651</v>
      </c>
      <c r="W129" s="188">
        <f>V129*15</f>
        <v>-157.22649534797478</v>
      </c>
      <c r="X129" s="188">
        <f>IF(W129&lt;0,W129+360,W129)</f>
        <v>202.77350465202522</v>
      </c>
      <c r="Y129" s="188">
        <f>-SIN(RADIANS(X129))</f>
        <v>0.38708924688055618</v>
      </c>
      <c r="Z129" s="188">
        <f>TAN(RADIANS(C129))*COS(RADIANS('Data Entry-V'!$F$8))-SIN(RADIANS('Data Entry-V'!$F$8))*COS(RADIANS(X129))</f>
        <v>-0.21622896597663976</v>
      </c>
      <c r="AA129" s="188">
        <f>DEGREES(ATAN2(Z129,Y129))</f>
        <v>119.18782853487707</v>
      </c>
      <c r="AB129" s="126">
        <f>IF(AA129&lt;0,AA129+360,AA129)</f>
        <v>119.18782853487707</v>
      </c>
      <c r="AC129" s="126">
        <f>DEGREES(ASIN((SIN(RADIANS('Data Entry-V'!$F$8))*SIN(RADIANS(C129)))+(COS(RADIANS('Data Entry-V'!$F$8))*COS(RADIANS(C129))*COS(RADIANS((U129-B129)*15)))))</f>
        <v>-65.874957305165807</v>
      </c>
      <c r="AD129" s="188">
        <f>1/(COS((4*ATAN(1))/2-(AC129*(4*ATAN(1))/180)))</f>
        <v>-1.0957035493774263</v>
      </c>
      <c r="AE129" s="188" t="str">
        <f>IF(AC129&gt;10,AD129-((AD129-1)*(0.0018161+(AD129-1)*(0.002875+(AD129-1)*0.0008083))),"")</f>
        <v/>
      </c>
      <c r="AF129" s="87"/>
      <c r="AG129" s="87"/>
      <c r="AH129" s="87"/>
      <c r="AI129" s="87"/>
    </row>
    <row r="130" spans="1:35">
      <c r="A130" s="42" t="s">
        <v>197</v>
      </c>
      <c r="B130" s="187">
        <v>16.4664</v>
      </c>
      <c r="C130" s="187">
        <v>68.768100000000004</v>
      </c>
      <c r="D130" s="172">
        <v>5.01</v>
      </c>
      <c r="E130" s="172">
        <v>-0.06</v>
      </c>
      <c r="F130" s="172">
        <v>-0.1</v>
      </c>
      <c r="G130" s="188">
        <f>IF($AH$3&gt;0.5,($AH$2+2415019)+((((HOUR($AH$3)*60)+MINUTE($AH$3))/1440+DAY($AH$2))-0.5)-DAY($AH$2),($AH$2+2415019)+((((HOUR($AH$3)*60)+MINUTE($AH$3))/1440+DAY($AH$2))-1.5)-DAY($AH$2)+1)</f>
        <v>2461051.9375</v>
      </c>
      <c r="H130" s="188">
        <f>IF((G130-ROUNDDOWN(G130,0))&lt;0.5,ROUNDDOWN(G130,0)-0.5,ROUNDDOWN(G130,0)+0.5)</f>
        <v>2461051.5</v>
      </c>
      <c r="I130" s="188">
        <f>$AH$3*24</f>
        <v>10.5</v>
      </c>
      <c r="J130" s="188">
        <f>G130-2451545</f>
        <v>9506.9375</v>
      </c>
      <c r="K130" s="188">
        <f>G130-2451545</f>
        <v>9506.9375</v>
      </c>
      <c r="L130" s="188">
        <f>AVERAGE(H130-2451545)/36525</f>
        <v>0.26027378507871324</v>
      </c>
      <c r="M130" s="188">
        <f>6.697374558+(0.065707485828*K130)+(1.0027379093*I130)+(0.0854103*L130)+(0.000025862*L130*L130)</f>
        <v>641.92531546860243</v>
      </c>
      <c r="N130" s="188">
        <f>M130-24*(ROUNDDOWN(M130/24,0))</f>
        <v>17.925315468602435</v>
      </c>
      <c r="O130" s="188">
        <f>125.04-0.052954*J130</f>
        <v>-378.39036837499998</v>
      </c>
      <c r="P130" s="188">
        <f>280.47+0.98565*J130</f>
        <v>9650.9829468749995</v>
      </c>
      <c r="Q130" s="188">
        <f>23.4393-0.0000004*J130</f>
        <v>23.435497224999999</v>
      </c>
      <c r="R130" s="188">
        <f>-0.000319*SIN(RADIANS(O130))-0.000024*SIN((RADIANS(2*P130)))</f>
        <v>1.1668967270040724E-4</v>
      </c>
      <c r="S130" s="188">
        <f>N130+R130*COS(RADIANS(Q130))</f>
        <v>17.925422532357235</v>
      </c>
      <c r="T130" s="188">
        <f>S130-'Data Entry-V'!$F$9/15</f>
        <v>29.556533643468349</v>
      </c>
      <c r="U130" s="188">
        <f>IF(T130&lt;0,T130+24,IF(T130&gt;24,T130-24,T130))</f>
        <v>5.5565336434683488</v>
      </c>
      <c r="V130" s="188">
        <f>U130-B130</f>
        <v>-10.909866356531651</v>
      </c>
      <c r="W130" s="188">
        <f>V130*15</f>
        <v>-163.64799534797476</v>
      </c>
      <c r="X130" s="188">
        <f>IF(W130&lt;0,W130+360,W130)</f>
        <v>196.35200465202524</v>
      </c>
      <c r="Y130" s="188">
        <f>-SIN(RADIANS(X130))</f>
        <v>0.28153776277076664</v>
      </c>
      <c r="Z130" s="188">
        <f>TAN(RADIANS(C130))*COS(RADIANS('Data Entry-V'!$F$8))-SIN(RADIANS('Data Entry-V'!$F$8))*COS(RADIANS(X130))</f>
        <v>1.4848670736027785</v>
      </c>
      <c r="AA130" s="188">
        <f>DEGREES(ATAN2(Z130,Y130))</f>
        <v>10.736105130851806</v>
      </c>
      <c r="AB130" s="126">
        <f>IF(AA130&lt;0,AA130+360,AA130)</f>
        <v>10.736105130851806</v>
      </c>
      <c r="AC130" s="126">
        <f>DEGREES(ASIN((SIN(RADIANS('Data Entry-V'!$F$8))*SIN(RADIANS(C130)))+(COS(RADIANS('Data Entry-V'!$F$8))*COS(RADIANS(C130))*COS(RADIANS((U130-B130)*15)))))</f>
        <v>-56.816958825086729</v>
      </c>
      <c r="AD130" s="188">
        <f>1/(COS((4*ATAN(1))/2-(AC130*(4*ATAN(1))/180)))</f>
        <v>-1.1948482703337528</v>
      </c>
      <c r="AE130" s="188" t="str">
        <f>IF(AC130&gt;10,AD130-((AD130-1)*(0.0018161+(AD130-1)*(0.002875+(AD130-1)*0.0008083))),"")</f>
        <v/>
      </c>
      <c r="AF130" s="87"/>
      <c r="AG130" s="87"/>
      <c r="AH130" s="87"/>
      <c r="AI130" s="87"/>
    </row>
    <row r="131" spans="1:35">
      <c r="A131" s="42" t="s">
        <v>198</v>
      </c>
      <c r="B131" s="187">
        <v>16.5684</v>
      </c>
      <c r="C131" s="187">
        <v>42.437399999999997</v>
      </c>
      <c r="D131" s="172">
        <v>4.2</v>
      </c>
      <c r="E131" s="172">
        <v>-0.02</v>
      </c>
      <c r="F131" s="172">
        <v>-0.1</v>
      </c>
      <c r="G131" s="188">
        <f>IF($AH$3&gt;0.5,($AH$2+2415019)+((((HOUR($AH$3)*60)+MINUTE($AH$3))/1440+DAY($AH$2))-0.5)-DAY($AH$2),($AH$2+2415019)+((((HOUR($AH$3)*60)+MINUTE($AH$3))/1440+DAY($AH$2))-1.5)-DAY($AH$2)+1)</f>
        <v>2461051.9375</v>
      </c>
      <c r="H131" s="188">
        <f>IF((G131-ROUNDDOWN(G131,0))&lt;0.5,ROUNDDOWN(G131,0)-0.5,ROUNDDOWN(G131,0)+0.5)</f>
        <v>2461051.5</v>
      </c>
      <c r="I131" s="188">
        <f>$AH$3*24</f>
        <v>10.5</v>
      </c>
      <c r="J131" s="188">
        <f>G131-2451545</f>
        <v>9506.9375</v>
      </c>
      <c r="K131" s="188">
        <f>G131-2451545</f>
        <v>9506.9375</v>
      </c>
      <c r="L131" s="188">
        <f>AVERAGE(H131-2451545)/36525</f>
        <v>0.26027378507871324</v>
      </c>
      <c r="M131" s="188">
        <f>6.697374558+(0.065707485828*K131)+(1.0027379093*I131)+(0.0854103*L131)+(0.000025862*L131*L131)</f>
        <v>641.92531546860243</v>
      </c>
      <c r="N131" s="188">
        <f>M131-24*(ROUNDDOWN(M131/24,0))</f>
        <v>17.925315468602435</v>
      </c>
      <c r="O131" s="188">
        <f>125.04-0.052954*J131</f>
        <v>-378.39036837499998</v>
      </c>
      <c r="P131" s="188">
        <f>280.47+0.98565*J131</f>
        <v>9650.9829468749995</v>
      </c>
      <c r="Q131" s="188">
        <f>23.4393-0.0000004*J131</f>
        <v>23.435497224999999</v>
      </c>
      <c r="R131" s="188">
        <f>-0.000319*SIN(RADIANS(O131))-0.000024*SIN((RADIANS(2*P131)))</f>
        <v>1.1668967270040724E-4</v>
      </c>
      <c r="S131" s="188">
        <f>N131+R131*COS(RADIANS(Q131))</f>
        <v>17.925422532357235</v>
      </c>
      <c r="T131" s="188">
        <f>S131-'Data Entry-V'!$F$9/15</f>
        <v>29.556533643468349</v>
      </c>
      <c r="U131" s="188">
        <f>IF(T131&lt;0,T131+24,IF(T131&gt;24,T131-24,T131))</f>
        <v>5.5565336434683488</v>
      </c>
      <c r="V131" s="188">
        <f>U131-B131</f>
        <v>-11.011866356531652</v>
      </c>
      <c r="W131" s="188">
        <f>V131*15</f>
        <v>-165.17799534797479</v>
      </c>
      <c r="X131" s="188">
        <f>IF(W131&lt;0,W131+360,W131)</f>
        <v>194.82200465202521</v>
      </c>
      <c r="Y131" s="188">
        <f>-SIN(RADIANS(X131))</f>
        <v>0.25581705111850173</v>
      </c>
      <c r="Z131" s="188">
        <f>TAN(RADIANS(C131))*COS(RADIANS('Data Entry-V'!$F$8))-SIN(RADIANS('Data Entry-V'!$F$8))*COS(RADIANS(X131))</f>
        <v>0.15226705222934112</v>
      </c>
      <c r="AA131" s="188">
        <f>DEGREES(ATAN2(Z131,Y131))</f>
        <v>59.238107690811297</v>
      </c>
      <c r="AB131" s="126">
        <f>IF(AA131&lt;0,AA131+360,AA131)</f>
        <v>59.238107690811297</v>
      </c>
      <c r="AC131" s="126">
        <f>DEGREES(ASIN((SIN(RADIANS('Data Entry-V'!$F$8))*SIN(RADIANS(C131)))+(COS(RADIANS('Data Entry-V'!$F$8))*COS(RADIANS(C131))*COS(RADIANS((U131-B131)*15)))))</f>
        <v>-77.308001804291536</v>
      </c>
      <c r="AD131" s="188">
        <f>1/(COS((4*ATAN(1))/2-(AC131*(4*ATAN(1))/180)))</f>
        <v>-1.0250467743007727</v>
      </c>
      <c r="AE131" s="188" t="str">
        <f>IF(AC131&gt;10,AD131-((AD131-1)*(0.0018161+(AD131-1)*(0.002875+(AD131-1)*0.0008083))),"")</f>
        <v/>
      </c>
      <c r="AF131" s="87"/>
      <c r="AG131" s="87"/>
      <c r="AH131" s="87"/>
      <c r="AI131" s="87"/>
    </row>
    <row r="132" spans="1:35">
      <c r="A132" s="42" t="s">
        <v>199</v>
      </c>
      <c r="B132" s="187">
        <v>17.089700000000001</v>
      </c>
      <c r="C132" s="187">
        <v>12.7408</v>
      </c>
      <c r="D132" s="172">
        <v>4.91</v>
      </c>
      <c r="E132" s="172">
        <v>0.12</v>
      </c>
      <c r="F132" s="172">
        <v>0.06</v>
      </c>
      <c r="G132" s="188">
        <f>IF($AH$3&gt;0.5,($AH$2+2415019)+((((HOUR($AH$3)*60)+MINUTE($AH$3))/1440+DAY($AH$2))-0.5)-DAY($AH$2),($AH$2+2415019)+((((HOUR($AH$3)*60)+MINUTE($AH$3))/1440+DAY($AH$2))-1.5)-DAY($AH$2)+1)</f>
        <v>2461051.9375</v>
      </c>
      <c r="H132" s="188">
        <f>IF((G132-ROUNDDOWN(G132,0))&lt;0.5,ROUNDDOWN(G132,0)-0.5,ROUNDDOWN(G132,0)+0.5)</f>
        <v>2461051.5</v>
      </c>
      <c r="I132" s="188">
        <f>$AH$3*24</f>
        <v>10.5</v>
      </c>
      <c r="J132" s="188">
        <f>G132-2451545</f>
        <v>9506.9375</v>
      </c>
      <c r="K132" s="188">
        <f>G132-2451545</f>
        <v>9506.9375</v>
      </c>
      <c r="L132" s="188">
        <f>AVERAGE(H132-2451545)/36525</f>
        <v>0.26027378507871324</v>
      </c>
      <c r="M132" s="188">
        <f>6.697374558+(0.065707485828*K132)+(1.0027379093*I132)+(0.0854103*L132)+(0.000025862*L132*L132)</f>
        <v>641.92531546860243</v>
      </c>
      <c r="N132" s="188">
        <f>M132-24*(ROUNDDOWN(M132/24,0))</f>
        <v>17.925315468602435</v>
      </c>
      <c r="O132" s="188">
        <f>125.04-0.052954*J132</f>
        <v>-378.39036837499998</v>
      </c>
      <c r="P132" s="188">
        <f>280.47+0.98565*J132</f>
        <v>9650.9829468749995</v>
      </c>
      <c r="Q132" s="188">
        <f>23.4393-0.0000004*J132</f>
        <v>23.435497224999999</v>
      </c>
      <c r="R132" s="188">
        <f>-0.000319*SIN(RADIANS(O132))-0.000024*SIN((RADIANS(2*P132)))</f>
        <v>1.1668967270040724E-4</v>
      </c>
      <c r="S132" s="188">
        <f>N132+R132*COS(RADIANS(Q132))</f>
        <v>17.925422532357235</v>
      </c>
      <c r="T132" s="188">
        <f>S132-'Data Entry-V'!$F$9/15</f>
        <v>29.556533643468349</v>
      </c>
      <c r="U132" s="188">
        <f>IF(T132&lt;0,T132+24,IF(T132&gt;24,T132-24,T132))</f>
        <v>5.5565336434683488</v>
      </c>
      <c r="V132" s="188">
        <f>U132-B132</f>
        <v>-11.533166356531652</v>
      </c>
      <c r="W132" s="188">
        <f>V132*15</f>
        <v>-172.99749534797479</v>
      </c>
      <c r="X132" s="188">
        <f>IF(W132&lt;0,W132+360,W132)</f>
        <v>187.00250465202521</v>
      </c>
      <c r="Y132" s="188">
        <f>-SIN(RADIANS(X132))</f>
        <v>0.12191273187245605</v>
      </c>
      <c r="Z132" s="188">
        <f>TAN(RADIANS(C132))*COS(RADIANS('Data Entry-V'!$F$8))-SIN(RADIANS('Data Entry-V'!$F$8))*COS(RADIANS(X132))</f>
        <v>-0.41404461651850982</v>
      </c>
      <c r="AA132" s="188">
        <f>DEGREES(ATAN2(Z132,Y132))</f>
        <v>163.59327945323787</v>
      </c>
      <c r="AB132" s="126">
        <f>IF(AA132&lt;0,AA132+360,AA132)</f>
        <v>163.59327945323787</v>
      </c>
      <c r="AC132" s="126">
        <f>DEGREES(ASIN((SIN(RADIANS('Data Entry-V'!$F$8))*SIN(RADIANS(C132)))+(COS(RADIANS('Data Entry-V'!$F$8))*COS(RADIANS(C132))*COS(RADIANS((U132-B132)*15)))))</f>
        <v>-65.102745117325</v>
      </c>
      <c r="AD132" s="188">
        <f>1/(COS((4*ATAN(1))/2-(AC132*(4*ATAN(1))/180)))</f>
        <v>-1.102457814819342</v>
      </c>
      <c r="AE132" s="188" t="str">
        <f>IF(AC132&gt;10,AD132-((AD132-1)*(0.0018161+(AD132-1)*(0.002875+(AD132-1)*0.0008083))),"")</f>
        <v/>
      </c>
      <c r="AF132" s="87"/>
      <c r="AG132" s="87"/>
      <c r="AH132" s="87"/>
      <c r="AI132" s="87"/>
    </row>
    <row r="133" spans="1:35">
      <c r="A133" s="42" t="s">
        <v>200</v>
      </c>
      <c r="B133" s="187">
        <v>17.294499999999999</v>
      </c>
      <c r="C133" s="187">
        <v>37.291899999999998</v>
      </c>
      <c r="D133" s="172">
        <v>4.66</v>
      </c>
      <c r="E133" s="172">
        <v>0.05</v>
      </c>
      <c r="F133" s="172">
        <v>-0.03</v>
      </c>
      <c r="G133" s="188">
        <f>IF($AH$3&gt;0.5,($AH$2+2415019)+((((HOUR($AH$3)*60)+MINUTE($AH$3))/1440+DAY($AH$2))-0.5)-DAY($AH$2),($AH$2+2415019)+((((HOUR($AH$3)*60)+MINUTE($AH$3))/1440+DAY($AH$2))-1.5)-DAY($AH$2)+1)</f>
        <v>2461051.9375</v>
      </c>
      <c r="H133" s="188">
        <f>IF((G133-ROUNDDOWN(G133,0))&lt;0.5,ROUNDDOWN(G133,0)-0.5,ROUNDDOWN(G133,0)+0.5)</f>
        <v>2461051.5</v>
      </c>
      <c r="I133" s="188">
        <f>$AH$3*24</f>
        <v>10.5</v>
      </c>
      <c r="J133" s="188">
        <f>G133-2451545</f>
        <v>9506.9375</v>
      </c>
      <c r="K133" s="188">
        <f>G133-2451545</f>
        <v>9506.9375</v>
      </c>
      <c r="L133" s="188">
        <f>AVERAGE(H133-2451545)/36525</f>
        <v>0.26027378507871324</v>
      </c>
      <c r="M133" s="188">
        <f>6.697374558+(0.065707485828*K133)+(1.0027379093*I133)+(0.0854103*L133)+(0.000025862*L133*L133)</f>
        <v>641.92531546860243</v>
      </c>
      <c r="N133" s="188">
        <f>M133-24*(ROUNDDOWN(M133/24,0))</f>
        <v>17.925315468602435</v>
      </c>
      <c r="O133" s="188">
        <f>125.04-0.052954*J133</f>
        <v>-378.39036837499998</v>
      </c>
      <c r="P133" s="188">
        <f>280.47+0.98565*J133</f>
        <v>9650.9829468749995</v>
      </c>
      <c r="Q133" s="188">
        <f>23.4393-0.0000004*J133</f>
        <v>23.435497224999999</v>
      </c>
      <c r="R133" s="188">
        <f>-0.000319*SIN(RADIANS(O133))-0.000024*SIN((RADIANS(2*P133)))</f>
        <v>1.1668967270040724E-4</v>
      </c>
      <c r="S133" s="188">
        <f>N133+R133*COS(RADIANS(Q133))</f>
        <v>17.925422532357235</v>
      </c>
      <c r="T133" s="188">
        <f>S133-'Data Entry-V'!$F$9/15</f>
        <v>29.556533643468349</v>
      </c>
      <c r="U133" s="188">
        <f>IF(T133&lt;0,T133+24,IF(T133&gt;24,T133-24,T133))</f>
        <v>5.5565336434683488</v>
      </c>
      <c r="V133" s="188">
        <f>U133-B133</f>
        <v>-11.737966356531651</v>
      </c>
      <c r="W133" s="188">
        <f>V133*15</f>
        <v>-176.06949534797477</v>
      </c>
      <c r="X133" s="188">
        <f>IF(W133&lt;0,W133+360,W133)</f>
        <v>183.93050465202523</v>
      </c>
      <c r="Y133" s="188">
        <f>-SIN(RADIANS(X133))</f>
        <v>6.8546454710204638E-2</v>
      </c>
      <c r="Z133" s="188">
        <f>TAN(RADIANS(C133))*COS(RADIANS('Data Entry-V'!$F$8))-SIN(RADIANS('Data Entry-V'!$F$8))*COS(RADIANS(X133))</f>
        <v>1.1470153816281359E-2</v>
      </c>
      <c r="AA133" s="188">
        <f>DEGREES(ATAN2(Z133,Y133))</f>
        <v>80.50047871893004</v>
      </c>
      <c r="AB133" s="126">
        <f>IF(AA133&lt;0,AA133+360,AA133)</f>
        <v>80.50047871893004</v>
      </c>
      <c r="AC133" s="126">
        <f>DEGREES(ASIN((SIN(RADIANS('Data Entry-V'!$F$8))*SIN(RADIANS(C133)))+(COS(RADIANS('Data Entry-V'!$F$8))*COS(RADIANS(C133))*COS(RADIANS((U133-B133)*15)))))</f>
        <v>-86.830444733882985</v>
      </c>
      <c r="AD133" s="188">
        <f>1/(COS((4*ATAN(1))/2-(AC133*(4*ATAN(1))/180)))</f>
        <v>-1.001532059023635</v>
      </c>
      <c r="AE133" s="188" t="str">
        <f>IF(AC133&gt;10,AD133-((AD133-1)*(0.0018161+(AD133-1)*(0.002875+(AD133-1)*0.0008083))),"")</f>
        <v/>
      </c>
      <c r="AF133" s="87"/>
      <c r="AG133" s="87"/>
      <c r="AH133" s="87"/>
      <c r="AI133" s="87"/>
    </row>
    <row r="134" spans="1:35">
      <c r="A134" s="42" t="s">
        <v>201</v>
      </c>
      <c r="B134" s="187">
        <v>18.029199999999999</v>
      </c>
      <c r="C134" s="187">
        <v>1.3050999999999999</v>
      </c>
      <c r="D134" s="172">
        <v>4.42</v>
      </c>
      <c r="E134" s="172">
        <v>0.04</v>
      </c>
      <c r="F134" s="172">
        <v>0.02</v>
      </c>
      <c r="G134" s="188">
        <f>IF($AH$3&gt;0.5,($AH$2+2415019)+((((HOUR($AH$3)*60)+MINUTE($AH$3))/1440+DAY($AH$2))-0.5)-DAY($AH$2),($AH$2+2415019)+((((HOUR($AH$3)*60)+MINUTE($AH$3))/1440+DAY($AH$2))-1.5)-DAY($AH$2)+1)</f>
        <v>2461051.9375</v>
      </c>
      <c r="H134" s="188">
        <f>IF((G134-ROUNDDOWN(G134,0))&lt;0.5,ROUNDDOWN(G134,0)-0.5,ROUNDDOWN(G134,0)+0.5)</f>
        <v>2461051.5</v>
      </c>
      <c r="I134" s="188">
        <f>$AH$3*24</f>
        <v>10.5</v>
      </c>
      <c r="J134" s="188">
        <f>G134-2451545</f>
        <v>9506.9375</v>
      </c>
      <c r="K134" s="188">
        <f>G134-2451545</f>
        <v>9506.9375</v>
      </c>
      <c r="L134" s="188">
        <f>AVERAGE(H134-2451545)/36525</f>
        <v>0.26027378507871324</v>
      </c>
      <c r="M134" s="188">
        <f>6.697374558+(0.065707485828*K134)+(1.0027379093*I134)+(0.0854103*L134)+(0.000025862*L134*L134)</f>
        <v>641.92531546860243</v>
      </c>
      <c r="N134" s="188">
        <f>M134-24*(ROUNDDOWN(M134/24,0))</f>
        <v>17.925315468602435</v>
      </c>
      <c r="O134" s="188">
        <f>125.04-0.052954*J134</f>
        <v>-378.39036837499998</v>
      </c>
      <c r="P134" s="188">
        <f>280.47+0.98565*J134</f>
        <v>9650.9829468749995</v>
      </c>
      <c r="Q134" s="188">
        <f>23.4393-0.0000004*J134</f>
        <v>23.435497224999999</v>
      </c>
      <c r="R134" s="188">
        <f>-0.000319*SIN(RADIANS(O134))-0.000024*SIN((RADIANS(2*P134)))</f>
        <v>1.1668967270040724E-4</v>
      </c>
      <c r="S134" s="188">
        <f>N134+R134*COS(RADIANS(Q134))</f>
        <v>17.925422532357235</v>
      </c>
      <c r="T134" s="188">
        <f>S134-'Data Entry-V'!$F$9/15</f>
        <v>29.556533643468349</v>
      </c>
      <c r="U134" s="188">
        <f>IF(T134&lt;0,T134+24,IF(T134&gt;24,T134-24,T134))</f>
        <v>5.5565336434683488</v>
      </c>
      <c r="V134" s="188">
        <f>U134-B134</f>
        <v>-12.472666356531651</v>
      </c>
      <c r="W134" s="188">
        <f>V134*15</f>
        <v>-187.08999534797476</v>
      </c>
      <c r="X134" s="188">
        <f>IF(W134&lt;0,W134+360,W134)</f>
        <v>172.91000465202524</v>
      </c>
      <c r="Y134" s="188">
        <f>-SIN(RADIANS(X134))</f>
        <v>-0.12342819969061222</v>
      </c>
      <c r="Z134" s="188">
        <f>TAN(RADIANS(C134))*COS(RADIANS('Data Entry-V'!$F$8))-SIN(RADIANS('Data Entry-V'!$F$8))*COS(RADIANS(X134))</f>
        <v>-0.57667084613132102</v>
      </c>
      <c r="AA134" s="188">
        <f>DEGREES(ATAN2(Z134,Y134))</f>
        <v>-167.91893460585399</v>
      </c>
      <c r="AB134" s="126">
        <f>IF(AA134&lt;0,AA134+360,AA134)</f>
        <v>192.08106539414601</v>
      </c>
      <c r="AC134" s="126">
        <f>DEGREES(ASIN((SIN(RADIANS('Data Entry-V'!$F$8))*SIN(RADIANS(C134)))+(COS(RADIANS('Data Entry-V'!$F$8))*COS(RADIANS(C134))*COS(RADIANS((U134-B134)*15)))))</f>
        <v>-53.872863266420005</v>
      </c>
      <c r="AD134" s="188">
        <f>1/(COS((4*ATAN(1))/2-(AC134*(4*ATAN(1))/180)))</f>
        <v>-1.2380669919629876</v>
      </c>
      <c r="AE134" s="188" t="str">
        <f>IF(AC134&gt;10,AD134-((AD134-1)*(0.0018161+(AD134-1)*(0.002875+(AD134-1)*0.0008083))),"")</f>
        <v/>
      </c>
      <c r="AF134" s="87"/>
      <c r="AG134" s="87"/>
      <c r="AH134" s="87"/>
      <c r="AI134" s="87"/>
    </row>
    <row r="135" spans="1:35">
      <c r="A135" s="42" t="s">
        <v>202</v>
      </c>
      <c r="B135" s="187">
        <v>17.536999999999999</v>
      </c>
      <c r="C135" s="187">
        <v>86.586799999999997</v>
      </c>
      <c r="D135" s="172">
        <v>4.3499999999999996</v>
      </c>
      <c r="E135" s="172">
        <v>0.01</v>
      </c>
      <c r="F135" s="172">
        <v>0.04</v>
      </c>
      <c r="G135" s="188">
        <f>IF($AH$3&gt;0.5,($AH$2+2415019)+((((HOUR($AH$3)*60)+MINUTE($AH$3))/1440+DAY($AH$2))-0.5)-DAY($AH$2),($AH$2+2415019)+((((HOUR($AH$3)*60)+MINUTE($AH$3))/1440+DAY($AH$2))-1.5)-DAY($AH$2)+1)</f>
        <v>2461051.9375</v>
      </c>
      <c r="H135" s="188">
        <f>IF((G135-ROUNDDOWN(G135,0))&lt;0.5,ROUNDDOWN(G135,0)-0.5,ROUNDDOWN(G135,0)+0.5)</f>
        <v>2461051.5</v>
      </c>
      <c r="I135" s="188">
        <f>$AH$3*24</f>
        <v>10.5</v>
      </c>
      <c r="J135" s="188">
        <f>G135-2451545</f>
        <v>9506.9375</v>
      </c>
      <c r="K135" s="188">
        <f>G135-2451545</f>
        <v>9506.9375</v>
      </c>
      <c r="L135" s="188">
        <f>AVERAGE(H135-2451545)/36525</f>
        <v>0.26027378507871324</v>
      </c>
      <c r="M135" s="188">
        <f>6.697374558+(0.065707485828*K135)+(1.0027379093*I135)+(0.0854103*L135)+(0.000025862*L135*L135)</f>
        <v>641.92531546860243</v>
      </c>
      <c r="N135" s="188">
        <f>M135-24*(ROUNDDOWN(M135/24,0))</f>
        <v>17.925315468602435</v>
      </c>
      <c r="O135" s="188">
        <f>125.04-0.052954*J135</f>
        <v>-378.39036837499998</v>
      </c>
      <c r="P135" s="188">
        <f>280.47+0.98565*J135</f>
        <v>9650.9829468749995</v>
      </c>
      <c r="Q135" s="188">
        <f>23.4393-0.0000004*J135</f>
        <v>23.435497224999999</v>
      </c>
      <c r="R135" s="188">
        <f>-0.000319*SIN(RADIANS(O135))-0.000024*SIN((RADIANS(2*P135)))</f>
        <v>1.1668967270040724E-4</v>
      </c>
      <c r="S135" s="188">
        <f>N135+R135*COS(RADIANS(Q135))</f>
        <v>17.925422532357235</v>
      </c>
      <c r="T135" s="188">
        <f>S135-'Data Entry-V'!$F$9/15</f>
        <v>29.556533643468349</v>
      </c>
      <c r="U135" s="188">
        <f>IF(T135&lt;0,T135+24,IF(T135&gt;24,T135-24,T135))</f>
        <v>5.5565336434683488</v>
      </c>
      <c r="V135" s="188">
        <f>U135-B135</f>
        <v>-11.98046635653165</v>
      </c>
      <c r="W135" s="188">
        <f>V135*15</f>
        <v>-179.70699534797475</v>
      </c>
      <c r="X135" s="188">
        <f>IF(W135&lt;0,W135+360,W135)</f>
        <v>180.29300465202525</v>
      </c>
      <c r="Y135" s="188">
        <f>-SIN(RADIANS(X135))</f>
        <v>5.1138736118206693E-3</v>
      </c>
      <c r="Z135" s="188">
        <f>TAN(RADIANS(C135))*COS(RADIANS('Data Entry-V'!$F$8))-SIN(RADIANS('Data Entry-V'!$F$8))*COS(RADIANS(X135))</f>
        <v>12.820269118525394</v>
      </c>
      <c r="AA135" s="188">
        <f>DEGREES(ATAN2(Z135,Y135))</f>
        <v>2.2854696470999955E-2</v>
      </c>
      <c r="AB135" s="126">
        <f>IF(AA135&lt;0,AA135+360,AA135)</f>
        <v>2.2854696470999955E-2</v>
      </c>
      <c r="AC135" s="126">
        <f>DEGREES(ASIN((SIN(RADIANS('Data Entry-V'!$F$8))*SIN(RADIANS(C135)))+(COS(RADIANS('Data Entry-V'!$F$8))*COS(RADIANS(C135))*COS(RADIANS((U135-B135)*15)))))</f>
        <v>-40.246486560234509</v>
      </c>
      <c r="AD135" s="188">
        <f>1/(COS((4*ATAN(1))/2-(AC135*(4*ATAN(1))/180)))</f>
        <v>-1.5478027035609816</v>
      </c>
      <c r="AE135" s="188" t="str">
        <f>IF(AC135&gt;10,AD135-((AD135-1)*(0.0018161+(AD135-1)*(0.002875+(AD135-1)*0.0008083))),"")</f>
        <v/>
      </c>
      <c r="AF135" s="87"/>
      <c r="AG135" s="87"/>
      <c r="AH135" s="87"/>
      <c r="AI135" s="87"/>
    </row>
    <row r="136" spans="1:35">
      <c r="A136" s="42" t="s">
        <v>203</v>
      </c>
      <c r="B136" s="187">
        <v>18.398499999999999</v>
      </c>
      <c r="C136" s="187">
        <v>58.801099999999998</v>
      </c>
      <c r="D136" s="172">
        <v>4.9800000000000004</v>
      </c>
      <c r="E136" s="172">
        <v>0.08</v>
      </c>
      <c r="F136" s="172">
        <v>0.05</v>
      </c>
      <c r="G136" s="188">
        <f>IF($AH$3&gt;0.5,($AH$2+2415019)+((((HOUR($AH$3)*60)+MINUTE($AH$3))/1440+DAY($AH$2))-0.5)-DAY($AH$2),($AH$2+2415019)+((((HOUR($AH$3)*60)+MINUTE($AH$3))/1440+DAY($AH$2))-1.5)-DAY($AH$2)+1)</f>
        <v>2461051.9375</v>
      </c>
      <c r="H136" s="188">
        <f>IF((G136-ROUNDDOWN(G136,0))&lt;0.5,ROUNDDOWN(G136,0)-0.5,ROUNDDOWN(G136,0)+0.5)</f>
        <v>2461051.5</v>
      </c>
      <c r="I136" s="188">
        <f>$AH$3*24</f>
        <v>10.5</v>
      </c>
      <c r="J136" s="188">
        <f>G136-2451545</f>
        <v>9506.9375</v>
      </c>
      <c r="K136" s="188">
        <f>G136-2451545</f>
        <v>9506.9375</v>
      </c>
      <c r="L136" s="188">
        <f>AVERAGE(H136-2451545)/36525</f>
        <v>0.26027378507871324</v>
      </c>
      <c r="M136" s="188">
        <f>6.697374558+(0.065707485828*K136)+(1.0027379093*I136)+(0.0854103*L136)+(0.000025862*L136*L136)</f>
        <v>641.92531546860243</v>
      </c>
      <c r="N136" s="188">
        <f>M136-24*(ROUNDDOWN(M136/24,0))</f>
        <v>17.925315468602435</v>
      </c>
      <c r="O136" s="188">
        <f>125.04-0.052954*J136</f>
        <v>-378.39036837499998</v>
      </c>
      <c r="P136" s="188">
        <f>280.47+0.98565*J136</f>
        <v>9650.9829468749995</v>
      </c>
      <c r="Q136" s="188">
        <f>23.4393-0.0000004*J136</f>
        <v>23.435497224999999</v>
      </c>
      <c r="R136" s="188">
        <f>-0.000319*SIN(RADIANS(O136))-0.000024*SIN((RADIANS(2*P136)))</f>
        <v>1.1668967270040724E-4</v>
      </c>
      <c r="S136" s="188">
        <f>N136+R136*COS(RADIANS(Q136))</f>
        <v>17.925422532357235</v>
      </c>
      <c r="T136" s="188">
        <f>S136-'Data Entry-V'!$F$9/15</f>
        <v>29.556533643468349</v>
      </c>
      <c r="U136" s="188">
        <f>IF(T136&lt;0,T136+24,IF(T136&gt;24,T136-24,T136))</f>
        <v>5.5565336434683488</v>
      </c>
      <c r="V136" s="188">
        <f>U136-B136</f>
        <v>-12.84196635653165</v>
      </c>
      <c r="W136" s="188">
        <f>V136*15</f>
        <v>-192.62949534797474</v>
      </c>
      <c r="X136" s="188">
        <f>IF(W136&lt;0,W136+360,W136)</f>
        <v>167.37050465202526</v>
      </c>
      <c r="Y136" s="188">
        <f>-SIN(RADIANS(X136))</f>
        <v>-0.21864560557282783</v>
      </c>
      <c r="Z136" s="188">
        <f>TAN(RADIANS(C136))*COS(RADIANS('Data Entry-V'!$F$8))-SIN(RADIANS('Data Entry-V'!$F$8))*COS(RADIANS(X136))</f>
        <v>0.73666194578494271</v>
      </c>
      <c r="AA136" s="188">
        <f>DEGREES(ATAN2(Z136,Y136))</f>
        <v>-16.531198879341861</v>
      </c>
      <c r="AB136" s="126">
        <f>IF(AA136&lt;0,AA136+360,AA136)</f>
        <v>343.46880112065816</v>
      </c>
      <c r="AC136" s="126">
        <f>DEGREES(ASIN((SIN(RADIANS('Data Entry-V'!$F$8))*SIN(RADIANS(C136)))+(COS(RADIANS('Data Entry-V'!$F$8))*COS(RADIANS(C136))*COS(RADIANS((U136-B136)*15)))))</f>
        <v>-66.543531631001315</v>
      </c>
      <c r="AD136" s="188">
        <f>1/(COS((4*ATAN(1))/2-(AC136*(4*ATAN(1))/180)))</f>
        <v>-1.0900813021577513</v>
      </c>
      <c r="AE136" s="188" t="str">
        <f>IF(AC136&gt;10,AD136-((AD136-1)*(0.0018161+(AD136-1)*(0.002875+(AD136-1)*0.0008083))),"")</f>
        <v/>
      </c>
      <c r="AF136" s="87"/>
      <c r="AG136" s="87"/>
      <c r="AH136" s="87"/>
      <c r="AI136" s="87"/>
    </row>
    <row r="137" spans="1:35">
      <c r="A137" s="42" t="s">
        <v>204</v>
      </c>
      <c r="B137" s="187">
        <v>18.7837</v>
      </c>
      <c r="C137" s="187">
        <v>18.182200000000002</v>
      </c>
      <c r="D137" s="172">
        <v>4.3600000000000003</v>
      </c>
      <c r="E137" s="172">
        <v>0.13</v>
      </c>
      <c r="F137" s="172">
        <v>7.0000000000000007E-2</v>
      </c>
      <c r="G137" s="188">
        <f>IF($AH$3&gt;0.5,($AH$2+2415019)+((((HOUR($AH$3)*60)+MINUTE($AH$3))/1440+DAY($AH$2))-0.5)-DAY($AH$2),($AH$2+2415019)+((((HOUR($AH$3)*60)+MINUTE($AH$3))/1440+DAY($AH$2))-1.5)-DAY($AH$2)+1)</f>
        <v>2461051.9375</v>
      </c>
      <c r="H137" s="188">
        <f>IF((G137-ROUNDDOWN(G137,0))&lt;0.5,ROUNDDOWN(G137,0)-0.5,ROUNDDOWN(G137,0)+0.5)</f>
        <v>2461051.5</v>
      </c>
      <c r="I137" s="188">
        <f>$AH$3*24</f>
        <v>10.5</v>
      </c>
      <c r="J137" s="188">
        <f>G137-2451545</f>
        <v>9506.9375</v>
      </c>
      <c r="K137" s="188">
        <f>G137-2451545</f>
        <v>9506.9375</v>
      </c>
      <c r="L137" s="188">
        <f>AVERAGE(H137-2451545)/36525</f>
        <v>0.26027378507871324</v>
      </c>
      <c r="M137" s="188">
        <f>6.697374558+(0.065707485828*K137)+(1.0027379093*I137)+(0.0854103*L137)+(0.000025862*L137*L137)</f>
        <v>641.92531546860243</v>
      </c>
      <c r="N137" s="188">
        <f>M137-24*(ROUNDDOWN(M137/24,0))</f>
        <v>17.925315468602435</v>
      </c>
      <c r="O137" s="188">
        <f>125.04-0.052954*J137</f>
        <v>-378.39036837499998</v>
      </c>
      <c r="P137" s="188">
        <f>280.47+0.98565*J137</f>
        <v>9650.9829468749995</v>
      </c>
      <c r="Q137" s="188">
        <f>23.4393-0.0000004*J137</f>
        <v>23.435497224999999</v>
      </c>
      <c r="R137" s="188">
        <f>-0.000319*SIN(RADIANS(O137))-0.000024*SIN((RADIANS(2*P137)))</f>
        <v>1.1668967270040724E-4</v>
      </c>
      <c r="S137" s="188">
        <f>N137+R137*COS(RADIANS(Q137))</f>
        <v>17.925422532357235</v>
      </c>
      <c r="T137" s="188">
        <f>S137-'Data Entry-V'!$F$9/15</f>
        <v>29.556533643468349</v>
      </c>
      <c r="U137" s="188">
        <f>IF(T137&lt;0,T137+24,IF(T137&gt;24,T137-24,T137))</f>
        <v>5.5565336434683488</v>
      </c>
      <c r="V137" s="188">
        <f>U137-B137</f>
        <v>-13.227166356531651</v>
      </c>
      <c r="W137" s="188">
        <f>V137*15</f>
        <v>-198.40749534797476</v>
      </c>
      <c r="X137" s="188">
        <f>IF(W137&lt;0,W137+360,W137)</f>
        <v>161.59250465202524</v>
      </c>
      <c r="Y137" s="188">
        <f>-SIN(RADIANS(X137))</f>
        <v>-0.31577316478305539</v>
      </c>
      <c r="Z137" s="188">
        <f>TAN(RADIANS(C137))*COS(RADIANS('Data Entry-V'!$F$8))-SIN(RADIANS('Data Entry-V'!$F$8))*COS(RADIANS(X137))</f>
        <v>-0.30593934825492963</v>
      </c>
      <c r="AA137" s="188">
        <f>DEGREES(ATAN2(Z137,Y137))</f>
        <v>-134.09381073946213</v>
      </c>
      <c r="AB137" s="126">
        <f>IF(AA137&lt;0,AA137+360,AA137)</f>
        <v>225.90618926053787</v>
      </c>
      <c r="AC137" s="126">
        <f>DEGREES(ASIN((SIN(RADIANS('Data Entry-V'!$F$8))*SIN(RADIANS(C137)))+(COS(RADIANS('Data Entry-V'!$F$8))*COS(RADIANS(C137))*COS(RADIANS((U137-B137)*15)))))</f>
        <v>-65.309346124748274</v>
      </c>
      <c r="AD137" s="188">
        <f>1/(COS((4*ATAN(1))/2-(AC137*(4*ATAN(1))/180)))</f>
        <v>-1.1006229955325135</v>
      </c>
      <c r="AE137" s="188" t="str">
        <f>IF(AC137&gt;10,AD137-((AD137-1)*(0.0018161+(AD137-1)*(0.002875+(AD137-1)*0.0008083))),"")</f>
        <v/>
      </c>
      <c r="AF137" s="87"/>
      <c r="AG137" s="87"/>
      <c r="AH137" s="87"/>
      <c r="AI137" s="87"/>
    </row>
    <row r="138" spans="1:35">
      <c r="A138" s="42" t="s">
        <v>205</v>
      </c>
      <c r="B138" s="187">
        <v>18.827000000000002</v>
      </c>
      <c r="C138" s="187">
        <v>0.83620000000000005</v>
      </c>
      <c r="D138" s="172">
        <v>6.24</v>
      </c>
      <c r="E138" s="172">
        <v>0.03</v>
      </c>
      <c r="F138" s="172">
        <v>0.01</v>
      </c>
      <c r="G138" s="188">
        <f>IF($AH$3&gt;0.5,($AH$2+2415019)+((((HOUR($AH$3)*60)+MINUTE($AH$3))/1440+DAY($AH$2))-0.5)-DAY($AH$2),($AH$2+2415019)+((((HOUR($AH$3)*60)+MINUTE($AH$3))/1440+DAY($AH$2))-1.5)-DAY($AH$2)+1)</f>
        <v>2461051.9375</v>
      </c>
      <c r="H138" s="188">
        <f>IF((G138-ROUNDDOWN(G138,0))&lt;0.5,ROUNDDOWN(G138,0)-0.5,ROUNDDOWN(G138,0)+0.5)</f>
        <v>2461051.5</v>
      </c>
      <c r="I138" s="188">
        <f>$AH$3*24</f>
        <v>10.5</v>
      </c>
      <c r="J138" s="188">
        <f>G138-2451545</f>
        <v>9506.9375</v>
      </c>
      <c r="K138" s="188">
        <f>G138-2451545</f>
        <v>9506.9375</v>
      </c>
      <c r="L138" s="188">
        <f>AVERAGE(H138-2451545)/36525</f>
        <v>0.26027378507871324</v>
      </c>
      <c r="M138" s="188">
        <f>6.697374558+(0.065707485828*K138)+(1.0027379093*I138)+(0.0854103*L138)+(0.000025862*L138*L138)</f>
        <v>641.92531546860243</v>
      </c>
      <c r="N138" s="188">
        <f>M138-24*(ROUNDDOWN(M138/24,0))</f>
        <v>17.925315468602435</v>
      </c>
      <c r="O138" s="188">
        <f>125.04-0.052954*J138</f>
        <v>-378.39036837499998</v>
      </c>
      <c r="P138" s="188">
        <f>280.47+0.98565*J138</f>
        <v>9650.9829468749995</v>
      </c>
      <c r="Q138" s="188">
        <f>23.4393-0.0000004*J138</f>
        <v>23.435497224999999</v>
      </c>
      <c r="R138" s="188">
        <f>-0.000319*SIN(RADIANS(O138))-0.000024*SIN((RADIANS(2*P138)))</f>
        <v>1.1668967270040724E-4</v>
      </c>
      <c r="S138" s="188">
        <f>N138+R138*COS(RADIANS(Q138))</f>
        <v>17.925422532357235</v>
      </c>
      <c r="T138" s="188">
        <f>S138-'Data Entry-V'!$F$9/15</f>
        <v>29.556533643468349</v>
      </c>
      <c r="U138" s="188">
        <f>IF(T138&lt;0,T138+24,IF(T138&gt;24,T138-24,T138))</f>
        <v>5.5565336434683488</v>
      </c>
      <c r="V138" s="188">
        <f>U138-B138</f>
        <v>-13.270466356531653</v>
      </c>
      <c r="W138" s="188">
        <f>V138*15</f>
        <v>-199.05699534797481</v>
      </c>
      <c r="X138" s="188">
        <f>IF(W138&lt;0,W138+360,W138)</f>
        <v>160.94300465202519</v>
      </c>
      <c r="Y138" s="188">
        <f>-SIN(RADIANS(X138))</f>
        <v>-0.3265085539511115</v>
      </c>
      <c r="Z138" s="188">
        <f>TAN(RADIANS(C138))*COS(RADIANS('Data Entry-V'!$F$8))-SIN(RADIANS('Data Entry-V'!$F$8))*COS(RADIANS(X138))</f>
        <v>-0.55495190889841484</v>
      </c>
      <c r="AA138" s="188">
        <f>DEGREES(ATAN2(Z138,Y138))</f>
        <v>-149.52937338203509</v>
      </c>
      <c r="AB138" s="126">
        <f>IF(AA138&lt;0,AA138+360,AA138)</f>
        <v>210.47062661796491</v>
      </c>
      <c r="AC138" s="126">
        <f>DEGREES(ASIN((SIN(RADIANS('Data Entry-V'!$F$8))*SIN(RADIANS(C138)))+(COS(RADIANS('Data Entry-V'!$F$8))*COS(RADIANS(C138))*COS(RADIANS((U138-B138)*15)))))</f>
        <v>-49.923497263628761</v>
      </c>
      <c r="AD138" s="188">
        <f>1/(COS((4*ATAN(1))/2-(AC138*(4*ATAN(1))/180)))</f>
        <v>-1.3068726563409241</v>
      </c>
      <c r="AE138" s="188" t="str">
        <f>IF(AC138&gt;10,AD138-((AD138-1)*(0.0018161+(AD138-1)*(0.002875+(AD138-1)*0.0008083))),"")</f>
        <v/>
      </c>
      <c r="AF138" s="87"/>
      <c r="AG138" s="87"/>
      <c r="AH138" s="87"/>
      <c r="AI138" s="87"/>
    </row>
    <row r="139" spans="1:35">
      <c r="A139" s="42" t="s">
        <v>206</v>
      </c>
      <c r="B139" s="187">
        <v>19.296700000000001</v>
      </c>
      <c r="C139" s="187">
        <v>2.0316999999999998</v>
      </c>
      <c r="D139" s="172">
        <v>6.18</v>
      </c>
      <c r="E139" s="172">
        <v>0.01</v>
      </c>
      <c r="F139" s="172">
        <v>0.01</v>
      </c>
      <c r="G139" s="188">
        <f>IF($AH$3&gt;0.5,($AH$2+2415019)+((((HOUR($AH$3)*60)+MINUTE($AH$3))/1440+DAY($AH$2))-0.5)-DAY($AH$2),($AH$2+2415019)+((((HOUR($AH$3)*60)+MINUTE($AH$3))/1440+DAY($AH$2))-1.5)-DAY($AH$2)+1)</f>
        <v>2461051.9375</v>
      </c>
      <c r="H139" s="188">
        <f>IF((G139-ROUNDDOWN(G139,0))&lt;0.5,ROUNDDOWN(G139,0)-0.5,ROUNDDOWN(G139,0)+0.5)</f>
        <v>2461051.5</v>
      </c>
      <c r="I139" s="188">
        <f>$AH$3*24</f>
        <v>10.5</v>
      </c>
      <c r="J139" s="188">
        <f>G139-2451545</f>
        <v>9506.9375</v>
      </c>
      <c r="K139" s="188">
        <f>G139-2451545</f>
        <v>9506.9375</v>
      </c>
      <c r="L139" s="188">
        <f>AVERAGE(H139-2451545)/36525</f>
        <v>0.26027378507871324</v>
      </c>
      <c r="M139" s="188">
        <f>6.697374558+(0.065707485828*K139)+(1.0027379093*I139)+(0.0854103*L139)+(0.000025862*L139*L139)</f>
        <v>641.92531546860243</v>
      </c>
      <c r="N139" s="188">
        <f>M139-24*(ROUNDDOWN(M139/24,0))</f>
        <v>17.925315468602435</v>
      </c>
      <c r="O139" s="188">
        <f>125.04-0.052954*J139</f>
        <v>-378.39036837499998</v>
      </c>
      <c r="P139" s="188">
        <f>280.47+0.98565*J139</f>
        <v>9650.9829468749995</v>
      </c>
      <c r="Q139" s="188">
        <f>23.4393-0.0000004*J139</f>
        <v>23.435497224999999</v>
      </c>
      <c r="R139" s="188">
        <f>-0.000319*SIN(RADIANS(O139))-0.000024*SIN((RADIANS(2*P139)))</f>
        <v>1.1668967270040724E-4</v>
      </c>
      <c r="S139" s="188">
        <f>N139+R139*COS(RADIANS(Q139))</f>
        <v>17.925422532357235</v>
      </c>
      <c r="T139" s="188">
        <f>S139-'Data Entry-V'!$F$9/15</f>
        <v>29.556533643468349</v>
      </c>
      <c r="U139" s="188">
        <f>IF(T139&lt;0,T139+24,IF(T139&gt;24,T139-24,T139))</f>
        <v>5.5565336434683488</v>
      </c>
      <c r="V139" s="188">
        <f>U139-B139</f>
        <v>-13.740166356531653</v>
      </c>
      <c r="W139" s="188">
        <f>V139*15</f>
        <v>-206.10249534797478</v>
      </c>
      <c r="X139" s="188">
        <f>IF(W139&lt;0,W139+360,W139)</f>
        <v>153.89750465202522</v>
      </c>
      <c r="Y139" s="188">
        <f>-SIN(RADIANS(X139))</f>
        <v>-0.43997828036990161</v>
      </c>
      <c r="Z139" s="188">
        <f>TAN(RADIANS(C139))*COS(RADIANS('Data Entry-V'!$F$8))-SIN(RADIANS('Data Entry-V'!$F$8))*COS(RADIANS(X139))</f>
        <v>-0.50995311821775136</v>
      </c>
      <c r="AA139" s="188">
        <f>DEGREES(ATAN2(Z139,Y139))</f>
        <v>-139.2129722833638</v>
      </c>
      <c r="AB139" s="126">
        <f>IF(AA139&lt;0,AA139+360,AA139)</f>
        <v>220.7870277166362</v>
      </c>
      <c r="AC139" s="126">
        <f>DEGREES(ASIN((SIN(RADIANS('Data Entry-V'!$F$8))*SIN(RADIANS(C139)))+(COS(RADIANS('Data Entry-V'!$F$8))*COS(RADIANS(C139))*COS(RADIANS((U139-B139)*15)))))</f>
        <v>-47.693262736749332</v>
      </c>
      <c r="AD139" s="188">
        <f>1/(COS((4*ATAN(1))/2-(AC139*(4*ATAN(1))/180)))</f>
        <v>-1.3521700500144838</v>
      </c>
      <c r="AE139" s="188" t="str">
        <f>IF(AC139&gt;10,AD139-((AD139-1)*(0.0018161+(AD139-1)*(0.002875+(AD139-1)*0.0008083))),"")</f>
        <v/>
      </c>
      <c r="AF139" s="87"/>
      <c r="AG139" s="87"/>
      <c r="AH139" s="87"/>
      <c r="AI139" s="87"/>
    </row>
    <row r="140" spans="1:35">
      <c r="A140" s="42" t="s">
        <v>207</v>
      </c>
      <c r="B140" s="187">
        <v>19.3445</v>
      </c>
      <c r="C140" s="187">
        <v>65.714799999999997</v>
      </c>
      <c r="D140" s="172">
        <v>4.59</v>
      </c>
      <c r="E140" s="172">
        <v>0.02</v>
      </c>
      <c r="F140" s="172">
        <v>0.06</v>
      </c>
      <c r="G140" s="188">
        <f>IF($AH$3&gt;0.5,($AH$2+2415019)+((((HOUR($AH$3)*60)+MINUTE($AH$3))/1440+DAY($AH$2))-0.5)-DAY($AH$2),($AH$2+2415019)+((((HOUR($AH$3)*60)+MINUTE($AH$3))/1440+DAY($AH$2))-1.5)-DAY($AH$2)+1)</f>
        <v>2461051.9375</v>
      </c>
      <c r="H140" s="188">
        <f>IF((G140-ROUNDDOWN(G140,0))&lt;0.5,ROUNDDOWN(G140,0)-0.5,ROUNDDOWN(G140,0)+0.5)</f>
        <v>2461051.5</v>
      </c>
      <c r="I140" s="188">
        <f>$AH$3*24</f>
        <v>10.5</v>
      </c>
      <c r="J140" s="188">
        <f>G140-2451545</f>
        <v>9506.9375</v>
      </c>
      <c r="K140" s="188">
        <f>G140-2451545</f>
        <v>9506.9375</v>
      </c>
      <c r="L140" s="188">
        <f>AVERAGE(H140-2451545)/36525</f>
        <v>0.26027378507871324</v>
      </c>
      <c r="M140" s="188">
        <f>6.697374558+(0.065707485828*K140)+(1.0027379093*I140)+(0.0854103*L140)+(0.000025862*L140*L140)</f>
        <v>641.92531546860243</v>
      </c>
      <c r="N140" s="188">
        <f>M140-24*(ROUNDDOWN(M140/24,0))</f>
        <v>17.925315468602435</v>
      </c>
      <c r="O140" s="188">
        <f>125.04-0.052954*J140</f>
        <v>-378.39036837499998</v>
      </c>
      <c r="P140" s="188">
        <f>280.47+0.98565*J140</f>
        <v>9650.9829468749995</v>
      </c>
      <c r="Q140" s="188">
        <f>23.4393-0.0000004*J140</f>
        <v>23.435497224999999</v>
      </c>
      <c r="R140" s="188">
        <f>-0.000319*SIN(RADIANS(O140))-0.000024*SIN((RADIANS(2*P140)))</f>
        <v>1.1668967270040724E-4</v>
      </c>
      <c r="S140" s="188">
        <f>N140+R140*COS(RADIANS(Q140))</f>
        <v>17.925422532357235</v>
      </c>
      <c r="T140" s="188">
        <f>S140-'Data Entry-V'!$F$9/15</f>
        <v>29.556533643468349</v>
      </c>
      <c r="U140" s="188">
        <f>IF(T140&lt;0,T140+24,IF(T140&gt;24,T140-24,T140))</f>
        <v>5.5565336434683488</v>
      </c>
      <c r="V140" s="188">
        <f>U140-B140</f>
        <v>-13.787966356531651</v>
      </c>
      <c r="W140" s="188">
        <f>V140*15</f>
        <v>-206.81949534797477</v>
      </c>
      <c r="X140" s="188">
        <f>IF(W140&lt;0,W140+360,W140)</f>
        <v>153.18050465202523</v>
      </c>
      <c r="Y140" s="188">
        <f>-SIN(RADIANS(X140))</f>
        <v>-0.4511812240584982</v>
      </c>
      <c r="Z140" s="188">
        <f>TAN(RADIANS(C140))*COS(RADIANS('Data Entry-V'!$F$8))-SIN(RADIANS('Data Entry-V'!$F$8))*COS(RADIANS(X140))</f>
        <v>1.2388691446331661</v>
      </c>
      <c r="AA140" s="188">
        <f>DEGREES(ATAN2(Z140,Y140))</f>
        <v>-20.011014625046901</v>
      </c>
      <c r="AB140" s="126">
        <f>IF(AA140&lt;0,AA140+360,AA140)</f>
        <v>339.98898537495307</v>
      </c>
      <c r="AC140" s="126">
        <f>DEGREES(ASIN((SIN(RADIANS('Data Entry-V'!$F$8))*SIN(RADIANS(C140)))+(COS(RADIANS('Data Entry-V'!$F$8))*COS(RADIANS(C140))*COS(RADIANS((U140-B140)*15)))))</f>
        <v>-57.162473979573342</v>
      </c>
      <c r="AD140" s="188">
        <f>1/(COS((4*ATAN(1))/2-(AC140*(4*ATAN(1))/180)))</f>
        <v>-1.1901763368434009</v>
      </c>
      <c r="AE140" s="188" t="str">
        <f>IF(AC140&gt;10,AD140-((AD140-1)*(0.0018161+(AD140-1)*(0.002875+(AD140-1)*0.0008083))),"")</f>
        <v/>
      </c>
      <c r="AF140" s="87"/>
      <c r="AG140" s="87"/>
      <c r="AH140" s="87"/>
      <c r="AI140" s="87"/>
    </row>
    <row r="141" spans="1:35">
      <c r="A141" s="42" t="s">
        <v>208</v>
      </c>
      <c r="B141" s="187">
        <v>19.816299999999998</v>
      </c>
      <c r="C141" s="187">
        <v>19.142199999999999</v>
      </c>
      <c r="D141" s="172">
        <v>5</v>
      </c>
      <c r="E141" s="172">
        <v>0.1</v>
      </c>
      <c r="F141" s="172">
        <v>0.06</v>
      </c>
      <c r="G141" s="188">
        <f>IF($AH$3&gt;0.5,($AH$2+2415019)+((((HOUR($AH$3)*60)+MINUTE($AH$3))/1440+DAY($AH$2))-0.5)-DAY($AH$2),($AH$2+2415019)+((((HOUR($AH$3)*60)+MINUTE($AH$3))/1440+DAY($AH$2))-1.5)-DAY($AH$2)+1)</f>
        <v>2461051.9375</v>
      </c>
      <c r="H141" s="188">
        <f>IF((G141-ROUNDDOWN(G141,0))&lt;0.5,ROUNDDOWN(G141,0)-0.5,ROUNDDOWN(G141,0)+0.5)</f>
        <v>2461051.5</v>
      </c>
      <c r="I141" s="188">
        <f>$AH$3*24</f>
        <v>10.5</v>
      </c>
      <c r="J141" s="188">
        <f>G141-2451545</f>
        <v>9506.9375</v>
      </c>
      <c r="K141" s="188">
        <f>G141-2451545</f>
        <v>9506.9375</v>
      </c>
      <c r="L141" s="188">
        <f>AVERAGE(H141-2451545)/36525</f>
        <v>0.26027378507871324</v>
      </c>
      <c r="M141" s="188">
        <f>6.697374558+(0.065707485828*K141)+(1.0027379093*I141)+(0.0854103*L141)+(0.000025862*L141*L141)</f>
        <v>641.92531546860243</v>
      </c>
      <c r="N141" s="188">
        <f>M141-24*(ROUNDDOWN(M141/24,0))</f>
        <v>17.925315468602435</v>
      </c>
      <c r="O141" s="188">
        <f>125.04-0.052954*J141</f>
        <v>-378.39036837499998</v>
      </c>
      <c r="P141" s="188">
        <f>280.47+0.98565*J141</f>
        <v>9650.9829468749995</v>
      </c>
      <c r="Q141" s="188">
        <f>23.4393-0.0000004*J141</f>
        <v>23.435497224999999</v>
      </c>
      <c r="R141" s="188">
        <f>-0.000319*SIN(RADIANS(O141))-0.000024*SIN((RADIANS(2*P141)))</f>
        <v>1.1668967270040724E-4</v>
      </c>
      <c r="S141" s="188">
        <f>N141+R141*COS(RADIANS(Q141))</f>
        <v>17.925422532357235</v>
      </c>
      <c r="T141" s="188">
        <f>S141-'Data Entry-V'!$F$9/15</f>
        <v>29.556533643468349</v>
      </c>
      <c r="U141" s="188">
        <f>IF(T141&lt;0,T141+24,IF(T141&gt;24,T141-24,T141))</f>
        <v>5.5565336434683488</v>
      </c>
      <c r="V141" s="188">
        <f>U141-B141</f>
        <v>-14.259766356531649</v>
      </c>
      <c r="W141" s="188">
        <f>V141*15</f>
        <v>-213.89649534797474</v>
      </c>
      <c r="X141" s="188">
        <f>IF(W141&lt;0,W141+360,W141)</f>
        <v>146.10350465202526</v>
      </c>
      <c r="Y141" s="188">
        <f>-SIN(RADIANS(X141))</f>
        <v>-0.55769433797978041</v>
      </c>
      <c r="Z141" s="188">
        <f>TAN(RADIANS(C141))*COS(RADIANS('Data Entry-V'!$F$8))-SIN(RADIANS('Data Entry-V'!$F$8))*COS(RADIANS(X141))</f>
        <v>-0.21978623719387846</v>
      </c>
      <c r="AA141" s="188">
        <f>DEGREES(ATAN2(Z141,Y141))</f>
        <v>-111.50930178889809</v>
      </c>
      <c r="AB141" s="126">
        <f>IF(AA141&lt;0,AA141+360,AA141)</f>
        <v>248.49069821110191</v>
      </c>
      <c r="AC141" s="126">
        <f>DEGREES(ASIN((SIN(RADIANS('Data Entry-V'!$F$8))*SIN(RADIANS(C141)))+(COS(RADIANS('Data Entry-V'!$F$8))*COS(RADIANS(C141))*COS(RADIANS((U141-B141)*15)))))</f>
        <v>-55.507658998541444</v>
      </c>
      <c r="AD141" s="188">
        <f>1/(COS((4*ATAN(1))/2-(AC141*(4*ATAN(1))/180)))</f>
        <v>-1.213294952973063</v>
      </c>
      <c r="AE141" s="188" t="str">
        <f>IF(AC141&gt;10,AD141-((AD141-1)*(0.0018161+(AD141-1)*(0.002875+(AD141-1)*0.0008083))),"")</f>
        <v/>
      </c>
      <c r="AF141" s="87"/>
      <c r="AG141" s="87"/>
      <c r="AH141" s="87"/>
      <c r="AI141" s="87"/>
    </row>
    <row r="142" spans="1:35">
      <c r="A142" s="42" t="s">
        <v>209</v>
      </c>
      <c r="B142" s="187">
        <v>19.890999999999998</v>
      </c>
      <c r="C142" s="187">
        <v>24.079599999999999</v>
      </c>
      <c r="D142" s="172">
        <v>4.58</v>
      </c>
      <c r="E142" s="172">
        <v>-0.06</v>
      </c>
      <c r="F142" s="172">
        <v>-0.13</v>
      </c>
      <c r="G142" s="188">
        <f>IF($AH$3&gt;0.5,($AH$2+2415019)+((((HOUR($AH$3)*60)+MINUTE($AH$3))/1440+DAY($AH$2))-0.5)-DAY($AH$2),($AH$2+2415019)+((((HOUR($AH$3)*60)+MINUTE($AH$3))/1440+DAY($AH$2))-1.5)-DAY($AH$2)+1)</f>
        <v>2461051.9375</v>
      </c>
      <c r="H142" s="188">
        <f>IF((G142-ROUNDDOWN(G142,0))&lt;0.5,ROUNDDOWN(G142,0)-0.5,ROUNDDOWN(G142,0)+0.5)</f>
        <v>2461051.5</v>
      </c>
      <c r="I142" s="188">
        <f>$AH$3*24</f>
        <v>10.5</v>
      </c>
      <c r="J142" s="188">
        <f>G142-2451545</f>
        <v>9506.9375</v>
      </c>
      <c r="K142" s="188">
        <f>G142-2451545</f>
        <v>9506.9375</v>
      </c>
      <c r="L142" s="188">
        <f>AVERAGE(H142-2451545)/36525</f>
        <v>0.26027378507871324</v>
      </c>
      <c r="M142" s="188">
        <f>6.697374558+(0.065707485828*K142)+(1.0027379093*I142)+(0.0854103*L142)+(0.000025862*L142*L142)</f>
        <v>641.92531546860243</v>
      </c>
      <c r="N142" s="188">
        <f>M142-24*(ROUNDDOWN(M142/24,0))</f>
        <v>17.925315468602435</v>
      </c>
      <c r="O142" s="188">
        <f>125.04-0.052954*J142</f>
        <v>-378.39036837499998</v>
      </c>
      <c r="P142" s="188">
        <f>280.47+0.98565*J142</f>
        <v>9650.9829468749995</v>
      </c>
      <c r="Q142" s="188">
        <f>23.4393-0.0000004*J142</f>
        <v>23.435497224999999</v>
      </c>
      <c r="R142" s="188">
        <f>-0.000319*SIN(RADIANS(O142))-0.000024*SIN((RADIANS(2*P142)))</f>
        <v>1.1668967270040724E-4</v>
      </c>
      <c r="S142" s="188">
        <f>N142+R142*COS(RADIANS(Q142))</f>
        <v>17.925422532357235</v>
      </c>
      <c r="T142" s="188">
        <f>S142-'Data Entry-V'!$F$9/15</f>
        <v>29.556533643468349</v>
      </c>
      <c r="U142" s="188">
        <f>IF(T142&lt;0,T142+24,IF(T142&gt;24,T142-24,T142))</f>
        <v>5.5565336434683488</v>
      </c>
      <c r="V142" s="188">
        <f>U142-B142</f>
        <v>-14.334466356531649</v>
      </c>
      <c r="W142" s="188">
        <f>V142*15</f>
        <v>-215.01699534797473</v>
      </c>
      <c r="X142" s="188">
        <f>IF(W142&lt;0,W142+360,W142)</f>
        <v>144.98300465202527</v>
      </c>
      <c r="Y142" s="188">
        <f>-SIN(RADIANS(X142))</f>
        <v>-0.57381939190872311</v>
      </c>
      <c r="Z142" s="188">
        <f>TAN(RADIANS(C142))*COS(RADIANS('Data Entry-V'!$F$8))-SIN(RADIANS('Data Entry-V'!$F$8))*COS(RADIANS(X142))</f>
        <v>-0.13328434586964838</v>
      </c>
      <c r="AA142" s="188">
        <f>DEGREES(ATAN2(Z142,Y142))</f>
        <v>-103.07654407465365</v>
      </c>
      <c r="AB142" s="126">
        <f>IF(AA142&lt;0,AA142+360,AA142)</f>
        <v>256.92345592534633</v>
      </c>
      <c r="AC142" s="126">
        <f>DEGREES(ASIN((SIN(RADIANS('Data Entry-V'!$F$8))*SIN(RADIANS(C142)))+(COS(RADIANS('Data Entry-V'!$F$8))*COS(RADIANS(C142))*COS(RADIANS((U142-B142)*15)))))</f>
        <v>-57.463821811636052</v>
      </c>
      <c r="AD142" s="188">
        <f>1/(COS((4*ATAN(1))/2-(AC142*(4*ATAN(1))/180)))</f>
        <v>-1.1861664363031075</v>
      </c>
      <c r="AE142" s="188" t="str">
        <f>IF(AC142&gt;10,AD142-((AD142-1)*(0.0018161+(AD142-1)*(0.002875+(AD142-1)*0.0008083))),"")</f>
        <v/>
      </c>
      <c r="AF142" s="87"/>
      <c r="AG142" s="87"/>
      <c r="AH142" s="87"/>
      <c r="AI142" s="87"/>
    </row>
    <row r="143" spans="1:35">
      <c r="A143" s="42" t="s">
        <v>210</v>
      </c>
      <c r="B143" s="187">
        <v>20.238</v>
      </c>
      <c r="C143" s="187">
        <v>15.197900000000001</v>
      </c>
      <c r="D143" s="172">
        <v>4.95</v>
      </c>
      <c r="E143" s="172">
        <v>0.09</v>
      </c>
      <c r="F143" s="172">
        <v>0.01</v>
      </c>
      <c r="G143" s="188">
        <f>IF($AH$3&gt;0.5,($AH$2+2415019)+((((HOUR($AH$3)*60)+MINUTE($AH$3))/1440+DAY($AH$2))-0.5)-DAY($AH$2),($AH$2+2415019)+((((HOUR($AH$3)*60)+MINUTE($AH$3))/1440+DAY($AH$2))-1.5)-DAY($AH$2)+1)</f>
        <v>2461051.9375</v>
      </c>
      <c r="H143" s="188">
        <f>IF((G143-ROUNDDOWN(G143,0))&lt;0.5,ROUNDDOWN(G143,0)-0.5,ROUNDDOWN(G143,0)+0.5)</f>
        <v>2461051.5</v>
      </c>
      <c r="I143" s="188">
        <f>$AH$3*24</f>
        <v>10.5</v>
      </c>
      <c r="J143" s="188">
        <f>G143-2451545</f>
        <v>9506.9375</v>
      </c>
      <c r="K143" s="188">
        <f>G143-2451545</f>
        <v>9506.9375</v>
      </c>
      <c r="L143" s="188">
        <f>AVERAGE(H143-2451545)/36525</f>
        <v>0.26027378507871324</v>
      </c>
      <c r="M143" s="188">
        <f>6.697374558+(0.065707485828*K143)+(1.0027379093*I143)+(0.0854103*L143)+(0.000025862*L143*L143)</f>
        <v>641.92531546860243</v>
      </c>
      <c r="N143" s="188">
        <f>M143-24*(ROUNDDOWN(M143/24,0))</f>
        <v>17.925315468602435</v>
      </c>
      <c r="O143" s="188">
        <f>125.04-0.052954*J143</f>
        <v>-378.39036837499998</v>
      </c>
      <c r="P143" s="188">
        <f>280.47+0.98565*J143</f>
        <v>9650.9829468749995</v>
      </c>
      <c r="Q143" s="188">
        <f>23.4393-0.0000004*J143</f>
        <v>23.435497224999999</v>
      </c>
      <c r="R143" s="188">
        <f>-0.000319*SIN(RADIANS(O143))-0.000024*SIN((RADIANS(2*P143)))</f>
        <v>1.1668967270040724E-4</v>
      </c>
      <c r="S143" s="188">
        <f>N143+R143*COS(RADIANS(Q143))</f>
        <v>17.925422532357235</v>
      </c>
      <c r="T143" s="188">
        <f>S143-'Data Entry-V'!$F$9/15</f>
        <v>29.556533643468349</v>
      </c>
      <c r="U143" s="188">
        <f>IF(T143&lt;0,T143+24,IF(T143&gt;24,T143-24,T143))</f>
        <v>5.5565336434683488</v>
      </c>
      <c r="V143" s="188">
        <f>U143-B143</f>
        <v>-14.681466356531651</v>
      </c>
      <c r="W143" s="188">
        <f>V143*15</f>
        <v>-220.22199534797477</v>
      </c>
      <c r="X143" s="188">
        <f>IF(W143&lt;0,W143+360,W143)</f>
        <v>139.77800465202523</v>
      </c>
      <c r="Y143" s="188">
        <f>-SIN(RADIANS(X143))</f>
        <v>-0.64575085476167948</v>
      </c>
      <c r="Z143" s="188">
        <f>TAN(RADIANS(C143))*COS(RADIANS('Data Entry-V'!$F$8))-SIN(RADIANS('Data Entry-V'!$F$8))*COS(RADIANS(X143))</f>
        <v>-0.24031132525044199</v>
      </c>
      <c r="AA143" s="188">
        <f>DEGREES(ATAN2(Z143,Y143))</f>
        <v>-110.412371894161</v>
      </c>
      <c r="AB143" s="126">
        <f>IF(AA143&lt;0,AA143+360,AA143)</f>
        <v>249.587628105839</v>
      </c>
      <c r="AC143" s="126">
        <f>DEGREES(ASIN((SIN(RADIANS('Data Entry-V'!$F$8))*SIN(RADIANS(C143)))+(COS(RADIANS('Data Entry-V'!$F$8))*COS(RADIANS(C143))*COS(RADIANS((U143-B143)*15)))))</f>
        <v>-48.323897471438265</v>
      </c>
      <c r="AD143" s="188">
        <f>1/(COS((4*ATAN(1))/2-(AC143*(4*ATAN(1))/180)))</f>
        <v>-1.3388393942983885</v>
      </c>
      <c r="AE143" s="188" t="str">
        <f>IF(AC143&gt;10,AD143-((AD143-1)*(0.0018161+(AD143-1)*(0.002875+(AD143-1)*0.0008083))),"")</f>
        <v/>
      </c>
      <c r="AF143" s="87"/>
      <c r="AG143" s="87"/>
      <c r="AH143" s="87"/>
      <c r="AI143" s="87"/>
    </row>
    <row r="144" spans="1:35">
      <c r="A144" s="42" t="s">
        <v>211</v>
      </c>
      <c r="B144" s="187">
        <v>20.221699999999998</v>
      </c>
      <c r="C144" s="187">
        <v>46.8157</v>
      </c>
      <c r="D144" s="172">
        <v>4.82</v>
      </c>
      <c r="E144" s="172">
        <v>0.1</v>
      </c>
      <c r="F144" s="172">
        <v>0.14000000000000001</v>
      </c>
      <c r="G144" s="188">
        <f>IF($AH$3&gt;0.5,($AH$2+2415019)+((((HOUR($AH$3)*60)+MINUTE($AH$3))/1440+DAY($AH$2))-0.5)-DAY($AH$2),($AH$2+2415019)+((((HOUR($AH$3)*60)+MINUTE($AH$3))/1440+DAY($AH$2))-1.5)-DAY($AH$2)+1)</f>
        <v>2461051.9375</v>
      </c>
      <c r="H144" s="188">
        <f>IF((G144-ROUNDDOWN(G144,0))&lt;0.5,ROUNDDOWN(G144,0)-0.5,ROUNDDOWN(G144,0)+0.5)</f>
        <v>2461051.5</v>
      </c>
      <c r="I144" s="188">
        <f>$AH$3*24</f>
        <v>10.5</v>
      </c>
      <c r="J144" s="188">
        <f>G144-2451545</f>
        <v>9506.9375</v>
      </c>
      <c r="K144" s="188">
        <f>G144-2451545</f>
        <v>9506.9375</v>
      </c>
      <c r="L144" s="188">
        <f>AVERAGE(H144-2451545)/36525</f>
        <v>0.26027378507871324</v>
      </c>
      <c r="M144" s="188">
        <f>6.697374558+(0.065707485828*K144)+(1.0027379093*I144)+(0.0854103*L144)+(0.000025862*L144*L144)</f>
        <v>641.92531546860243</v>
      </c>
      <c r="N144" s="188">
        <f>M144-24*(ROUNDDOWN(M144/24,0))</f>
        <v>17.925315468602435</v>
      </c>
      <c r="O144" s="188">
        <f>125.04-0.052954*J144</f>
        <v>-378.39036837499998</v>
      </c>
      <c r="P144" s="188">
        <f>280.47+0.98565*J144</f>
        <v>9650.9829468749995</v>
      </c>
      <c r="Q144" s="188">
        <f>23.4393-0.0000004*J144</f>
        <v>23.435497224999999</v>
      </c>
      <c r="R144" s="188">
        <f>-0.000319*SIN(RADIANS(O144))-0.000024*SIN((RADIANS(2*P144)))</f>
        <v>1.1668967270040724E-4</v>
      </c>
      <c r="S144" s="188">
        <f>N144+R144*COS(RADIANS(Q144))</f>
        <v>17.925422532357235</v>
      </c>
      <c r="T144" s="188">
        <f>S144-'Data Entry-V'!$F$9/15</f>
        <v>29.556533643468349</v>
      </c>
      <c r="U144" s="188">
        <f>IF(T144&lt;0,T144+24,IF(T144&gt;24,T144-24,T144))</f>
        <v>5.5565336434683488</v>
      </c>
      <c r="V144" s="188">
        <f>U144-B144</f>
        <v>-14.66516635653165</v>
      </c>
      <c r="W144" s="188">
        <f>V144*15</f>
        <v>-219.97749534797475</v>
      </c>
      <c r="X144" s="188">
        <f>IF(W144&lt;0,W144+360,W144)</f>
        <v>140.02250465202525</v>
      </c>
      <c r="Y144" s="188">
        <f>-SIN(RADIANS(X144))</f>
        <v>-0.64248667296389494</v>
      </c>
      <c r="Z144" s="188">
        <f>TAN(RADIANS(C144))*COS(RADIANS('Data Entry-V'!$F$8))-SIN(RADIANS('Data Entry-V'!$F$8))*COS(RADIANS(X144))</f>
        <v>0.39340240630926304</v>
      </c>
      <c r="AA144" s="188">
        <f>DEGREES(ATAN2(Z144,Y144))</f>
        <v>-58.520357382273552</v>
      </c>
      <c r="AB144" s="126">
        <f>IF(AA144&lt;0,AA144+360,AA144)</f>
        <v>301.47964261772643</v>
      </c>
      <c r="AC144" s="126">
        <f>DEGREES(ASIN((SIN(RADIANS('Data Entry-V'!$F$8))*SIN(RADIANS(C144)))+(COS(RADIANS('Data Entry-V'!$F$8))*COS(RADIANS(C144))*COS(RADIANS((U144-B144)*15)))))</f>
        <v>-58.965012957850661</v>
      </c>
      <c r="AD144" s="188">
        <f>1/(COS((4*ATAN(1))/2-(AC144*(4*ATAN(1))/180)))</f>
        <v>-1.1670618202334349</v>
      </c>
      <c r="AE144" s="188" t="str">
        <f>IF(AC144&gt;10,AD144-((AD144-1)*(0.0018161+(AD144-1)*(0.002875+(AD144-1)*0.0008083))),"")</f>
        <v/>
      </c>
      <c r="AF144" s="87"/>
      <c r="AG144" s="87"/>
      <c r="AH144" s="87"/>
      <c r="AI144" s="87"/>
    </row>
    <row r="145" spans="1:35">
      <c r="A145" s="42" t="s">
        <v>212</v>
      </c>
      <c r="B145" s="187">
        <v>20.241700000000002</v>
      </c>
      <c r="C145" s="187">
        <v>36.799999999999997</v>
      </c>
      <c r="D145" s="172">
        <v>4.99</v>
      </c>
      <c r="E145" s="172">
        <v>0.12</v>
      </c>
      <c r="F145" s="172">
        <v>0</v>
      </c>
      <c r="G145" s="188">
        <f>IF($AH$3&gt;0.5,($AH$2+2415019)+((((HOUR($AH$3)*60)+MINUTE($AH$3))/1440+DAY($AH$2))-0.5)-DAY($AH$2),($AH$2+2415019)+((((HOUR($AH$3)*60)+MINUTE($AH$3))/1440+DAY($AH$2))-1.5)-DAY($AH$2)+1)</f>
        <v>2461051.9375</v>
      </c>
      <c r="H145" s="188">
        <f>IF((G145-ROUNDDOWN(G145,0))&lt;0.5,ROUNDDOWN(G145,0)-0.5,ROUNDDOWN(G145,0)+0.5)</f>
        <v>2461051.5</v>
      </c>
      <c r="I145" s="188">
        <f>$AH$3*24</f>
        <v>10.5</v>
      </c>
      <c r="J145" s="188">
        <f>G145-2451545</f>
        <v>9506.9375</v>
      </c>
      <c r="K145" s="188">
        <f>G145-2451545</f>
        <v>9506.9375</v>
      </c>
      <c r="L145" s="188">
        <f>AVERAGE(H145-2451545)/36525</f>
        <v>0.26027378507871324</v>
      </c>
      <c r="M145" s="188">
        <f>6.697374558+(0.065707485828*K145)+(1.0027379093*I145)+(0.0854103*L145)+(0.000025862*L145*L145)</f>
        <v>641.92531546860243</v>
      </c>
      <c r="N145" s="188">
        <f>M145-24*(ROUNDDOWN(M145/24,0))</f>
        <v>17.925315468602435</v>
      </c>
      <c r="O145" s="188">
        <f>125.04-0.052954*J145</f>
        <v>-378.39036837499998</v>
      </c>
      <c r="P145" s="188">
        <f>280.47+0.98565*J145</f>
        <v>9650.9829468749995</v>
      </c>
      <c r="Q145" s="188">
        <f>23.4393-0.0000004*J145</f>
        <v>23.435497224999999</v>
      </c>
      <c r="R145" s="188">
        <f>-0.000319*SIN(RADIANS(O145))-0.000024*SIN((RADIANS(2*P145)))</f>
        <v>1.1668967270040724E-4</v>
      </c>
      <c r="S145" s="188">
        <f>N145+R145*COS(RADIANS(Q145))</f>
        <v>17.925422532357235</v>
      </c>
      <c r="T145" s="188">
        <f>S145-'Data Entry-V'!$F$9/15</f>
        <v>29.556533643468349</v>
      </c>
      <c r="U145" s="188">
        <f>IF(T145&lt;0,T145+24,IF(T145&gt;24,T145-24,T145))</f>
        <v>5.5565336434683488</v>
      </c>
      <c r="V145" s="188">
        <f>U145-B145</f>
        <v>-14.685166356531653</v>
      </c>
      <c r="W145" s="188">
        <f>V145*15</f>
        <v>-220.27749534797479</v>
      </c>
      <c r="X145" s="188">
        <f>IF(W145&lt;0,W145+360,W145)</f>
        <v>139.72250465202521</v>
      </c>
      <c r="Y145" s="188">
        <f>-SIN(RADIANS(X145))</f>
        <v>-0.64649016854982011</v>
      </c>
      <c r="Z145" s="188">
        <f>TAN(RADIANS(C145))*COS(RADIANS('Data Entry-V'!$F$8))-SIN(RADIANS('Data Entry-V'!$F$8))*COS(RADIANS(X145))</f>
        <v>0.14139898826961511</v>
      </c>
      <c r="AA145" s="188">
        <f>DEGREES(ATAN2(Z145,Y145))</f>
        <v>-77.662666565598016</v>
      </c>
      <c r="AB145" s="126">
        <f>IF(AA145&lt;0,AA145+360,AA145)</f>
        <v>282.33733343440201</v>
      </c>
      <c r="AC145" s="126">
        <f>DEGREES(ASIN((SIN(RADIANS('Data Entry-V'!$F$8))*SIN(RADIANS(C145)))+(COS(RADIANS('Data Entry-V'!$F$8))*COS(RADIANS(C145))*COS(RADIANS((U145-B145)*15)))))</f>
        <v>-58.001151188174568</v>
      </c>
      <c r="AD145" s="188">
        <f>1/(COS((4*ATAN(1))/2-(AC145*(4*ATAN(1))/180)))</f>
        <v>-1.179163599330838</v>
      </c>
      <c r="AE145" s="188" t="str">
        <f>IF(AC145&gt;10,AD145-((AD145-1)*(0.0018161+(AD145-1)*(0.002875+(AD145-1)*0.0008083))),"")</f>
        <v/>
      </c>
      <c r="AF145" s="87"/>
      <c r="AG145" s="87"/>
      <c r="AH145" s="87"/>
      <c r="AI145" s="87"/>
    </row>
    <row r="146" spans="1:35">
      <c r="A146" s="42" t="s">
        <v>213</v>
      </c>
      <c r="B146" s="187">
        <v>20.223299999999998</v>
      </c>
      <c r="C146" s="187">
        <v>56.568199999999997</v>
      </c>
      <c r="D146" s="172">
        <v>4.3</v>
      </c>
      <c r="E146" s="172">
        <v>0.11</v>
      </c>
      <c r="F146" s="172">
        <v>0.08</v>
      </c>
      <c r="G146" s="188">
        <f>IF($AH$3&gt;0.5,($AH$2+2415019)+((((HOUR($AH$3)*60)+MINUTE($AH$3))/1440+DAY($AH$2))-0.5)-DAY($AH$2),($AH$2+2415019)+((((HOUR($AH$3)*60)+MINUTE($AH$3))/1440+DAY($AH$2))-1.5)-DAY($AH$2)+1)</f>
        <v>2461051.9375</v>
      </c>
      <c r="H146" s="188">
        <f>IF((G146-ROUNDDOWN(G146,0))&lt;0.5,ROUNDDOWN(G146,0)-0.5,ROUNDDOWN(G146,0)+0.5)</f>
        <v>2461051.5</v>
      </c>
      <c r="I146" s="188">
        <f>$AH$3*24</f>
        <v>10.5</v>
      </c>
      <c r="J146" s="188">
        <f>G146-2451545</f>
        <v>9506.9375</v>
      </c>
      <c r="K146" s="188">
        <f>G146-2451545</f>
        <v>9506.9375</v>
      </c>
      <c r="L146" s="188">
        <f>AVERAGE(H146-2451545)/36525</f>
        <v>0.26027378507871324</v>
      </c>
      <c r="M146" s="188">
        <f>6.697374558+(0.065707485828*K146)+(1.0027379093*I146)+(0.0854103*L146)+(0.000025862*L146*L146)</f>
        <v>641.92531546860243</v>
      </c>
      <c r="N146" s="188">
        <f>M146-24*(ROUNDDOWN(M146/24,0))</f>
        <v>17.925315468602435</v>
      </c>
      <c r="O146" s="188">
        <f>125.04-0.052954*J146</f>
        <v>-378.39036837499998</v>
      </c>
      <c r="P146" s="188">
        <f>280.47+0.98565*J146</f>
        <v>9650.9829468749995</v>
      </c>
      <c r="Q146" s="188">
        <f>23.4393-0.0000004*J146</f>
        <v>23.435497224999999</v>
      </c>
      <c r="R146" s="188">
        <f>-0.000319*SIN(RADIANS(O146))-0.000024*SIN((RADIANS(2*P146)))</f>
        <v>1.1668967270040724E-4</v>
      </c>
      <c r="S146" s="188">
        <f>N146+R146*COS(RADIANS(Q146))</f>
        <v>17.925422532357235</v>
      </c>
      <c r="T146" s="188">
        <f>S146-'Data Entry-V'!$F$9/15</f>
        <v>29.556533643468349</v>
      </c>
      <c r="U146" s="188">
        <f>IF(T146&lt;0,T146+24,IF(T146&gt;24,T146-24,T146))</f>
        <v>5.5565336434683488</v>
      </c>
      <c r="V146" s="188">
        <f>U146-B146</f>
        <v>-14.66676635653165</v>
      </c>
      <c r="W146" s="188">
        <f>V146*15</f>
        <v>-220.00149534797475</v>
      </c>
      <c r="X146" s="188">
        <f>IF(W146&lt;0,W146+360,W146)</f>
        <v>139.99850465202525</v>
      </c>
      <c r="Y146" s="188">
        <f>-SIN(RADIANS(X146))</f>
        <v>-0.64280760226667799</v>
      </c>
      <c r="Z146" s="188">
        <f>TAN(RADIANS(C146))*COS(RADIANS('Data Entry-V'!$F$8))-SIN(RADIANS('Data Entry-V'!$F$8))*COS(RADIANS(X146))</f>
        <v>0.75315399949408546</v>
      </c>
      <c r="AA146" s="188">
        <f>DEGREES(ATAN2(Z146,Y146))</f>
        <v>-40.480345798028836</v>
      </c>
      <c r="AB146" s="126">
        <f>IF(AA146&lt;0,AA146+360,AA146)</f>
        <v>319.51965420197115</v>
      </c>
      <c r="AC146" s="126">
        <f>DEGREES(ASIN((SIN(RADIANS('Data Entry-V'!$F$8))*SIN(RADIANS(C146)))+(COS(RADIANS('Data Entry-V'!$F$8))*COS(RADIANS(C146))*COS(RADIANS((U146-B146)*15)))))</f>
        <v>-56.939118871483096</v>
      </c>
      <c r="AD146" s="188">
        <f>1/(COS((4*ATAN(1))/2-(AC146*(4*ATAN(1))/180)))</f>
        <v>-1.1931873192396423</v>
      </c>
      <c r="AE146" s="188" t="str">
        <f>IF(AC146&gt;10,AD146-((AD146-1)*(0.0018161+(AD146-1)*(0.002875+(AD146-1)*0.0008083))),"")</f>
        <v/>
      </c>
      <c r="AF146" s="87"/>
      <c r="AG146" s="87"/>
      <c r="AH146" s="87"/>
      <c r="AI146" s="87"/>
    </row>
    <row r="147" spans="1:35">
      <c r="A147" s="42" t="s">
        <v>214</v>
      </c>
      <c r="B147" s="187">
        <v>20.564900000000002</v>
      </c>
      <c r="C147" s="187">
        <v>10.059799999999999</v>
      </c>
      <c r="D147" s="172">
        <v>6.56</v>
      </c>
      <c r="E147" s="172">
        <v>0.08</v>
      </c>
      <c r="F147" s="172">
        <v>0.05</v>
      </c>
      <c r="G147" s="188">
        <f>IF($AH$3&gt;0.5,($AH$2+2415019)+((((HOUR($AH$3)*60)+MINUTE($AH$3))/1440+DAY($AH$2))-0.5)-DAY($AH$2),($AH$2+2415019)+((((HOUR($AH$3)*60)+MINUTE($AH$3))/1440+DAY($AH$2))-1.5)-DAY($AH$2)+1)</f>
        <v>2461051.9375</v>
      </c>
      <c r="H147" s="188">
        <f>IF((G147-ROUNDDOWN(G147,0))&lt;0.5,ROUNDDOWN(G147,0)-0.5,ROUNDDOWN(G147,0)+0.5)</f>
        <v>2461051.5</v>
      </c>
      <c r="I147" s="188">
        <f>$AH$3*24</f>
        <v>10.5</v>
      </c>
      <c r="J147" s="188">
        <f>G147-2451545</f>
        <v>9506.9375</v>
      </c>
      <c r="K147" s="188">
        <f>G147-2451545</f>
        <v>9506.9375</v>
      </c>
      <c r="L147" s="188">
        <f>AVERAGE(H147-2451545)/36525</f>
        <v>0.26027378507871324</v>
      </c>
      <c r="M147" s="188">
        <f>6.697374558+(0.065707485828*K147)+(1.0027379093*I147)+(0.0854103*L147)+(0.000025862*L147*L147)</f>
        <v>641.92531546860243</v>
      </c>
      <c r="N147" s="188">
        <f>M147-24*(ROUNDDOWN(M147/24,0))</f>
        <v>17.925315468602435</v>
      </c>
      <c r="O147" s="188">
        <f>125.04-0.052954*J147</f>
        <v>-378.39036837499998</v>
      </c>
      <c r="P147" s="188">
        <f>280.47+0.98565*J147</f>
        <v>9650.9829468749995</v>
      </c>
      <c r="Q147" s="188">
        <f>23.4393-0.0000004*J147</f>
        <v>23.435497224999999</v>
      </c>
      <c r="R147" s="188">
        <f>-0.000319*SIN(RADIANS(O147))-0.000024*SIN((RADIANS(2*P147)))</f>
        <v>1.1668967270040724E-4</v>
      </c>
      <c r="S147" s="188">
        <f>N147+R147*COS(RADIANS(Q147))</f>
        <v>17.925422532357235</v>
      </c>
      <c r="T147" s="188">
        <f>S147-'Data Entry-V'!$F$9/15</f>
        <v>29.556533643468349</v>
      </c>
      <c r="U147" s="188">
        <f>IF(T147&lt;0,T147+24,IF(T147&gt;24,T147-24,T147))</f>
        <v>5.5565336434683488</v>
      </c>
      <c r="V147" s="188">
        <f>U147-B147</f>
        <v>-15.008366356531653</v>
      </c>
      <c r="W147" s="188">
        <f>V147*15</f>
        <v>-225.12549534797478</v>
      </c>
      <c r="X147" s="188">
        <f>IF(W147&lt;0,W147+360,W147)</f>
        <v>134.87450465202522</v>
      </c>
      <c r="Y147" s="188">
        <f>-SIN(RADIANS(X147))</f>
        <v>-0.70865386474134984</v>
      </c>
      <c r="Z147" s="188">
        <f>TAN(RADIANS(C147))*COS(RADIANS('Data Entry-V'!$F$8))-SIN(RADIANS('Data Entry-V'!$F$8))*COS(RADIANS(X147))</f>
        <v>-0.28098291857243873</v>
      </c>
      <c r="AA147" s="188">
        <f>DEGREES(ATAN2(Z147,Y147))</f>
        <v>-111.62844198549497</v>
      </c>
      <c r="AB147" s="126">
        <f>IF(AA147&lt;0,AA147+360,AA147)</f>
        <v>248.37155801450501</v>
      </c>
      <c r="AC147" s="126">
        <f>DEGREES(ASIN((SIN(RADIANS('Data Entry-V'!$F$8))*SIN(RADIANS(C147)))+(COS(RADIANS('Data Entry-V'!$F$8))*COS(RADIANS(C147))*COS(RADIANS((U147-B147)*15)))))</f>
        <v>-41.357059478829839</v>
      </c>
      <c r="AD147" s="188">
        <f>1/(COS((4*ATAN(1))/2-(AC147*(4*ATAN(1))/180)))</f>
        <v>-1.5134328371935495</v>
      </c>
      <c r="AE147" s="188" t="str">
        <f>IF(AC147&gt;10,AD147-((AD147-1)*(0.0018161+(AD147-1)*(0.002875+(AD147-1)*0.0008083))),"")</f>
        <v/>
      </c>
      <c r="AF147" s="87"/>
      <c r="AG147" s="87"/>
      <c r="AH147" s="87"/>
      <c r="AI147" s="87"/>
    </row>
    <row r="148" spans="1:35">
      <c r="A148" s="42" t="s">
        <v>215</v>
      </c>
      <c r="B148" s="187">
        <v>20.5885</v>
      </c>
      <c r="C148" s="187">
        <v>14.809100000000001</v>
      </c>
      <c r="D148" s="172">
        <v>4.6900000000000004</v>
      </c>
      <c r="E148" s="172">
        <v>0.11</v>
      </c>
      <c r="F148" s="172">
        <v>0.11</v>
      </c>
      <c r="G148" s="188">
        <f>IF($AH$3&gt;0.5,($AH$2+2415019)+((((HOUR($AH$3)*60)+MINUTE($AH$3))/1440+DAY($AH$2))-0.5)-DAY($AH$2),($AH$2+2415019)+((((HOUR($AH$3)*60)+MINUTE($AH$3))/1440+DAY($AH$2))-1.5)-DAY($AH$2)+1)</f>
        <v>2461051.9375</v>
      </c>
      <c r="H148" s="188">
        <f>IF((G148-ROUNDDOWN(G148,0))&lt;0.5,ROUNDDOWN(G148,0)-0.5,ROUNDDOWN(G148,0)+0.5)</f>
        <v>2461051.5</v>
      </c>
      <c r="I148" s="188">
        <f>$AH$3*24</f>
        <v>10.5</v>
      </c>
      <c r="J148" s="188">
        <f>G148-2451545</f>
        <v>9506.9375</v>
      </c>
      <c r="K148" s="188">
        <f>G148-2451545</f>
        <v>9506.9375</v>
      </c>
      <c r="L148" s="188">
        <f>AVERAGE(H148-2451545)/36525</f>
        <v>0.26027378507871324</v>
      </c>
      <c r="M148" s="188">
        <f>6.697374558+(0.065707485828*K148)+(1.0027379093*I148)+(0.0854103*L148)+(0.000025862*L148*L148)</f>
        <v>641.92531546860243</v>
      </c>
      <c r="N148" s="188">
        <f>M148-24*(ROUNDDOWN(M148/24,0))</f>
        <v>17.925315468602435</v>
      </c>
      <c r="O148" s="188">
        <f>125.04-0.052954*J148</f>
        <v>-378.39036837499998</v>
      </c>
      <c r="P148" s="188">
        <f>280.47+0.98565*J148</f>
        <v>9650.9829468749995</v>
      </c>
      <c r="Q148" s="188">
        <f>23.4393-0.0000004*J148</f>
        <v>23.435497224999999</v>
      </c>
      <c r="R148" s="188">
        <f>-0.000319*SIN(RADIANS(O148))-0.000024*SIN((RADIANS(2*P148)))</f>
        <v>1.1668967270040724E-4</v>
      </c>
      <c r="S148" s="188">
        <f>N148+R148*COS(RADIANS(Q148))</f>
        <v>17.925422532357235</v>
      </c>
      <c r="T148" s="188">
        <f>S148-'Data Entry-V'!$F$9/15</f>
        <v>29.556533643468349</v>
      </c>
      <c r="U148" s="188">
        <f>IF(T148&lt;0,T148+24,IF(T148&gt;24,T148-24,T148))</f>
        <v>5.5565336434683488</v>
      </c>
      <c r="V148" s="188">
        <f>U148-B148</f>
        <v>-15.031966356531651</v>
      </c>
      <c r="W148" s="188">
        <f>V148*15</f>
        <v>-225.47949534797476</v>
      </c>
      <c r="X148" s="188">
        <f>IF(W148&lt;0,W148+360,W148)</f>
        <v>134.52050465202524</v>
      </c>
      <c r="Y148" s="188">
        <f>-SIN(RADIANS(X148))</f>
        <v>-0.71299956650062646</v>
      </c>
      <c r="Z148" s="188">
        <f>TAN(RADIANS(C148))*COS(RADIANS('Data Entry-V'!$F$8))-SIN(RADIANS('Data Entry-V'!$F$8))*COS(RADIANS(X148))</f>
        <v>-0.20873438822551213</v>
      </c>
      <c r="AA148" s="188">
        <f>DEGREES(ATAN2(Z148,Y148))</f>
        <v>-106.31767082025392</v>
      </c>
      <c r="AB148" s="126">
        <f>IF(AA148&lt;0,AA148+360,AA148)</f>
        <v>253.68232917974609</v>
      </c>
      <c r="AC148" s="126">
        <f>DEGREES(ASIN((SIN(RADIANS('Data Entry-V'!$F$8))*SIN(RADIANS(C148)))+(COS(RADIANS('Data Entry-V'!$F$8))*COS(RADIANS(C148))*COS(RADIANS((U148-B148)*15)))))</f>
        <v>-44.090005285544287</v>
      </c>
      <c r="AD148" s="188">
        <f>1/(COS((4*ATAN(1))/2-(AC148*(4*ATAN(1))/180)))</f>
        <v>-1.4372203835573814</v>
      </c>
      <c r="AE148" s="188" t="str">
        <f>IF(AC148&gt;10,AD148-((AD148-1)*(0.0018161+(AD148-1)*(0.002875+(AD148-1)*0.0008083))),"")</f>
        <v/>
      </c>
      <c r="AF148" s="87"/>
      <c r="AG148" s="87"/>
      <c r="AH148" s="87"/>
      <c r="AI148" s="87"/>
    </row>
    <row r="149" spans="1:35">
      <c r="A149" s="42" t="s">
        <v>216</v>
      </c>
      <c r="B149" s="187">
        <v>20.642099999999999</v>
      </c>
      <c r="C149" s="187">
        <v>21.2012</v>
      </c>
      <c r="D149" s="172">
        <v>4.82</v>
      </c>
      <c r="E149" s="172">
        <v>-0.02</v>
      </c>
      <c r="F149" s="172">
        <v>-7.0000000000000007E-2</v>
      </c>
      <c r="G149" s="188">
        <f>IF($AH$3&gt;0.5,($AH$2+2415019)+((((HOUR($AH$3)*60)+MINUTE($AH$3))/1440+DAY($AH$2))-0.5)-DAY($AH$2),($AH$2+2415019)+((((HOUR($AH$3)*60)+MINUTE($AH$3))/1440+DAY($AH$2))-1.5)-DAY($AH$2)+1)</f>
        <v>2461051.9375</v>
      </c>
      <c r="H149" s="188">
        <f>IF((G149-ROUNDDOWN(G149,0))&lt;0.5,ROUNDDOWN(G149,0)-0.5,ROUNDDOWN(G149,0)+0.5)</f>
        <v>2461051.5</v>
      </c>
      <c r="I149" s="188">
        <f>$AH$3*24</f>
        <v>10.5</v>
      </c>
      <c r="J149" s="188">
        <f>G149-2451545</f>
        <v>9506.9375</v>
      </c>
      <c r="K149" s="188">
        <f>G149-2451545</f>
        <v>9506.9375</v>
      </c>
      <c r="L149" s="188">
        <f>AVERAGE(H149-2451545)/36525</f>
        <v>0.26027378507871324</v>
      </c>
      <c r="M149" s="188">
        <f>6.697374558+(0.065707485828*K149)+(1.0027379093*I149)+(0.0854103*L149)+(0.000025862*L149*L149)</f>
        <v>641.92531546860243</v>
      </c>
      <c r="N149" s="188">
        <f>M149-24*(ROUNDDOWN(M149/24,0))</f>
        <v>17.925315468602435</v>
      </c>
      <c r="O149" s="188">
        <f>125.04-0.052954*J149</f>
        <v>-378.39036837499998</v>
      </c>
      <c r="P149" s="188">
        <f>280.47+0.98565*J149</f>
        <v>9650.9829468749995</v>
      </c>
      <c r="Q149" s="188">
        <f>23.4393-0.0000004*J149</f>
        <v>23.435497224999999</v>
      </c>
      <c r="R149" s="188">
        <f>-0.000319*SIN(RADIANS(O149))-0.000024*SIN((RADIANS(2*P149)))</f>
        <v>1.1668967270040724E-4</v>
      </c>
      <c r="S149" s="188">
        <f>N149+R149*COS(RADIANS(Q149))</f>
        <v>17.925422532357235</v>
      </c>
      <c r="T149" s="188">
        <f>S149-'Data Entry-V'!$F$9/15</f>
        <v>29.556533643468349</v>
      </c>
      <c r="U149" s="188">
        <f>IF(T149&lt;0,T149+24,IF(T149&gt;24,T149-24,T149))</f>
        <v>5.5565336434683488</v>
      </c>
      <c r="V149" s="188">
        <f>U149-B149</f>
        <v>-15.08556635653165</v>
      </c>
      <c r="W149" s="188">
        <f>V149*15</f>
        <v>-226.28349534797476</v>
      </c>
      <c r="X149" s="188">
        <f>IF(W149&lt;0,W149+360,W149)</f>
        <v>133.71650465202524</v>
      </c>
      <c r="Y149" s="188">
        <f>-SIN(RADIANS(X149))</f>
        <v>-0.72276809997041347</v>
      </c>
      <c r="Z149" s="188">
        <f>TAN(RADIANS(C149))*COS(RADIANS('Data Entry-V'!$F$8))-SIN(RADIANS('Data Entry-V'!$F$8))*COS(RADIANS(X149))</f>
        <v>-0.1038341851111958</v>
      </c>
      <c r="AA149" s="188">
        <f>DEGREES(ATAN2(Z149,Y149))</f>
        <v>-98.175280111606668</v>
      </c>
      <c r="AB149" s="126">
        <f>IF(AA149&lt;0,AA149+360,AA149)</f>
        <v>261.82471988839336</v>
      </c>
      <c r="AC149" s="126">
        <f>DEGREES(ASIN((SIN(RADIANS('Data Entry-V'!$F$8))*SIN(RADIANS(C149)))+(COS(RADIANS('Data Entry-V'!$F$8))*COS(RADIANS(C149))*COS(RADIANS((U149-B149)*15)))))</f>
        <v>-47.096423090571768</v>
      </c>
      <c r="AD149" s="188">
        <f>1/(COS((4*ATAN(1))/2-(AC149*(4*ATAN(1))/180)))</f>
        <v>-1.3651869664345333</v>
      </c>
      <c r="AE149" s="188" t="str">
        <f>IF(AC149&gt;10,AD149-((AD149-1)*(0.0018161+(AD149-1)*(0.002875+(AD149-1)*0.0008083))),"")</f>
        <v/>
      </c>
      <c r="AF149" s="87"/>
      <c r="AG149" s="87"/>
      <c r="AH149" s="87"/>
      <c r="AI149" s="87"/>
    </row>
    <row r="150" spans="1:35">
      <c r="A150" s="42" t="s">
        <v>217</v>
      </c>
      <c r="B150" s="187">
        <v>21.1754</v>
      </c>
      <c r="C150" s="187">
        <v>10.048999999999999</v>
      </c>
      <c r="D150" s="172">
        <v>6.07</v>
      </c>
      <c r="E150" s="172">
        <v>0.02</v>
      </c>
      <c r="F150" s="172">
        <v>0.04</v>
      </c>
      <c r="G150" s="188">
        <f>IF($AH$3&gt;0.5,($AH$2+2415019)+((((HOUR($AH$3)*60)+MINUTE($AH$3))/1440+DAY($AH$2))-0.5)-DAY($AH$2),($AH$2+2415019)+((((HOUR($AH$3)*60)+MINUTE($AH$3))/1440+DAY($AH$2))-1.5)-DAY($AH$2)+1)</f>
        <v>2461051.9375</v>
      </c>
      <c r="H150" s="188">
        <f>IF((G150-ROUNDDOWN(G150,0))&lt;0.5,ROUNDDOWN(G150,0)-0.5,ROUNDDOWN(G150,0)+0.5)</f>
        <v>2461051.5</v>
      </c>
      <c r="I150" s="188">
        <f>$AH$3*24</f>
        <v>10.5</v>
      </c>
      <c r="J150" s="188">
        <f>G150-2451545</f>
        <v>9506.9375</v>
      </c>
      <c r="K150" s="188">
        <f>G150-2451545</f>
        <v>9506.9375</v>
      </c>
      <c r="L150" s="188">
        <f>AVERAGE(H150-2451545)/36525</f>
        <v>0.26027378507871324</v>
      </c>
      <c r="M150" s="188">
        <f>6.697374558+(0.065707485828*K150)+(1.0027379093*I150)+(0.0854103*L150)+(0.000025862*L150*L150)</f>
        <v>641.92531546860243</v>
      </c>
      <c r="N150" s="188">
        <f>M150-24*(ROUNDDOWN(M150/24,0))</f>
        <v>17.925315468602435</v>
      </c>
      <c r="O150" s="188">
        <f>125.04-0.052954*J150</f>
        <v>-378.39036837499998</v>
      </c>
      <c r="P150" s="188">
        <f>280.47+0.98565*J150</f>
        <v>9650.9829468749995</v>
      </c>
      <c r="Q150" s="188">
        <f>23.4393-0.0000004*J150</f>
        <v>23.435497224999999</v>
      </c>
      <c r="R150" s="188">
        <f>-0.000319*SIN(RADIANS(O150))-0.000024*SIN((RADIANS(2*P150)))</f>
        <v>1.1668967270040724E-4</v>
      </c>
      <c r="S150" s="188">
        <f>N150+R150*COS(RADIANS(Q150))</f>
        <v>17.925422532357235</v>
      </c>
      <c r="T150" s="188">
        <f>S150-'Data Entry-V'!$F$9/15</f>
        <v>29.556533643468349</v>
      </c>
      <c r="U150" s="188">
        <f>IF(T150&lt;0,T150+24,IF(T150&gt;24,T150-24,T150))</f>
        <v>5.5565336434683488</v>
      </c>
      <c r="V150" s="188">
        <f>U150-B150</f>
        <v>-15.618866356531651</v>
      </c>
      <c r="W150" s="188">
        <f>V150*15</f>
        <v>-234.28299534797478</v>
      </c>
      <c r="X150" s="188">
        <f>IF(W150&lt;0,W150+360,W150)</f>
        <v>125.71700465202522</v>
      </c>
      <c r="Y150" s="188">
        <f>-SIN(RADIANS(X150))</f>
        <v>-0.81191030358676541</v>
      </c>
      <c r="Z150" s="188">
        <f>TAN(RADIANS(C150))*COS(RADIANS('Data Entry-V'!$F$8))-SIN(RADIANS('Data Entry-V'!$F$8))*COS(RADIANS(X150))</f>
        <v>-0.20813625257443477</v>
      </c>
      <c r="AA150" s="188">
        <f>DEGREES(ATAN2(Z150,Y150))</f>
        <v>-104.37835680326906</v>
      </c>
      <c r="AB150" s="126">
        <f>IF(AA150&lt;0,AA150+360,AA150)</f>
        <v>255.62164319673093</v>
      </c>
      <c r="AC150" s="126">
        <f>DEGREES(ASIN((SIN(RADIANS('Data Entry-V'!$F$8))*SIN(RADIANS(C150)))+(COS(RADIANS('Data Entry-V'!$F$8))*COS(RADIANS(C150))*COS(RADIANS((U150-B150)*15)))))</f>
        <v>-34.380501171406102</v>
      </c>
      <c r="AD150" s="188">
        <f>1/(COS((4*ATAN(1))/2-(AC150*(4*ATAN(1))/180)))</f>
        <v>-1.7708951532715795</v>
      </c>
      <c r="AE150" s="188" t="str">
        <f>IF(AC150&gt;10,AD150-((AD150-1)*(0.0018161+(AD150-1)*(0.002875+(AD150-1)*0.0008083))),"")</f>
        <v/>
      </c>
      <c r="AF150" s="87"/>
      <c r="AG150" s="87"/>
      <c r="AH150" s="87"/>
      <c r="AI150" s="87"/>
    </row>
    <row r="151" spans="1:35">
      <c r="A151" s="42" t="s">
        <v>218</v>
      </c>
      <c r="B151" s="187">
        <v>21.628799999999998</v>
      </c>
      <c r="C151" s="187">
        <v>6.6184000000000003</v>
      </c>
      <c r="D151" s="172">
        <v>6.2</v>
      </c>
      <c r="E151" s="172">
        <v>0.02</v>
      </c>
      <c r="F151" s="172">
        <v>0.01</v>
      </c>
      <c r="G151" s="188">
        <f>IF($AH$3&gt;0.5,($AH$2+2415019)+((((HOUR($AH$3)*60)+MINUTE($AH$3))/1440+DAY($AH$2))-0.5)-DAY($AH$2),($AH$2+2415019)+((((HOUR($AH$3)*60)+MINUTE($AH$3))/1440+DAY($AH$2))-1.5)-DAY($AH$2)+1)</f>
        <v>2461051.9375</v>
      </c>
      <c r="H151" s="188">
        <f>IF((G151-ROUNDDOWN(G151,0))&lt;0.5,ROUNDDOWN(G151,0)-0.5,ROUNDDOWN(G151,0)+0.5)</f>
        <v>2461051.5</v>
      </c>
      <c r="I151" s="188">
        <f>$AH$3*24</f>
        <v>10.5</v>
      </c>
      <c r="J151" s="188">
        <f>G151-2451545</f>
        <v>9506.9375</v>
      </c>
      <c r="K151" s="188">
        <f>G151-2451545</f>
        <v>9506.9375</v>
      </c>
      <c r="L151" s="188">
        <f>AVERAGE(H151-2451545)/36525</f>
        <v>0.26027378507871324</v>
      </c>
      <c r="M151" s="188">
        <f>6.697374558+(0.065707485828*K151)+(1.0027379093*I151)+(0.0854103*L151)+(0.000025862*L151*L151)</f>
        <v>641.92531546860243</v>
      </c>
      <c r="N151" s="188">
        <f>M151-24*(ROUNDDOWN(M151/24,0))</f>
        <v>17.925315468602435</v>
      </c>
      <c r="O151" s="188">
        <f>125.04-0.052954*J151</f>
        <v>-378.39036837499998</v>
      </c>
      <c r="P151" s="188">
        <f>280.47+0.98565*J151</f>
        <v>9650.9829468749995</v>
      </c>
      <c r="Q151" s="188">
        <f>23.4393-0.0000004*J151</f>
        <v>23.435497224999999</v>
      </c>
      <c r="R151" s="188">
        <f>-0.000319*SIN(RADIANS(O151))-0.000024*SIN((RADIANS(2*P151)))</f>
        <v>1.1668967270040724E-4</v>
      </c>
      <c r="S151" s="188">
        <f>N151+R151*COS(RADIANS(Q151))</f>
        <v>17.925422532357235</v>
      </c>
      <c r="T151" s="188">
        <f>S151-'Data Entry-V'!$F$9/15</f>
        <v>29.556533643468349</v>
      </c>
      <c r="U151" s="188">
        <f>IF(T151&lt;0,T151+24,IF(T151&gt;24,T151-24,T151))</f>
        <v>5.5565336434683488</v>
      </c>
      <c r="V151" s="188">
        <f>U151-B151</f>
        <v>-16.072266356531649</v>
      </c>
      <c r="W151" s="188">
        <f>V151*15</f>
        <v>-241.08399534797474</v>
      </c>
      <c r="X151" s="188">
        <f>IF(W151&lt;0,W151+360,W151)</f>
        <v>118.91600465202526</v>
      </c>
      <c r="Y151" s="188">
        <f>-SIN(RADIANS(X151))</f>
        <v>-0.87532949570655982</v>
      </c>
      <c r="Z151" s="188">
        <f>TAN(RADIANS(C151))*COS(RADIANS('Data Entry-V'!$F$8))-SIN(RADIANS('Data Entry-V'!$F$8))*COS(RADIANS(X151))</f>
        <v>-0.19700130223389511</v>
      </c>
      <c r="AA151" s="188">
        <f>DEGREES(ATAN2(Z151,Y151))</f>
        <v>-102.68363348787726</v>
      </c>
      <c r="AB151" s="126">
        <f>IF(AA151&lt;0,AA151+360,AA151)</f>
        <v>257.31636651212273</v>
      </c>
      <c r="AC151" s="126">
        <f>DEGREES(ASIN((SIN(RADIANS('Data Entry-V'!$F$8))*SIN(RADIANS(C151)))+(COS(RADIANS('Data Entry-V'!$F$8))*COS(RADIANS(C151))*COS(RADIANS((U151-B151)*15)))))</f>
        <v>-26.96989940366652</v>
      </c>
      <c r="AD151" s="188">
        <f>1/(COS((4*ATAN(1))/2-(AC151*(4*ATAN(1))/180)))</f>
        <v>-2.2049630318066473</v>
      </c>
      <c r="AE151" s="188" t="str">
        <f>IF(AC151&gt;10,AD151-((AD151-1)*(0.0018161+(AD151-1)*(0.002875+(AD151-1)*0.0008083))),"")</f>
        <v/>
      </c>
      <c r="AF151" s="87"/>
      <c r="AG151" s="87"/>
      <c r="AH151" s="87"/>
      <c r="AI151" s="87"/>
    </row>
    <row r="152" spans="1:35">
      <c r="A152" s="42" t="s">
        <v>219</v>
      </c>
      <c r="B152" s="187">
        <v>21.787199999999999</v>
      </c>
      <c r="C152" s="187">
        <v>2.6861000000000002</v>
      </c>
      <c r="D152" s="172">
        <v>5.64</v>
      </c>
      <c r="E152" s="172">
        <v>0</v>
      </c>
      <c r="F152" s="172">
        <v>-0.01</v>
      </c>
      <c r="G152" s="188">
        <f>IF($AH$3&gt;0.5,($AH$2+2415019)+((((HOUR($AH$3)*60)+MINUTE($AH$3))/1440+DAY($AH$2))-0.5)-DAY($AH$2),($AH$2+2415019)+((((HOUR($AH$3)*60)+MINUTE($AH$3))/1440+DAY($AH$2))-1.5)-DAY($AH$2)+1)</f>
        <v>2461051.9375</v>
      </c>
      <c r="H152" s="188">
        <f>IF((G152-ROUNDDOWN(G152,0))&lt;0.5,ROUNDDOWN(G152,0)-0.5,ROUNDDOWN(G152,0)+0.5)</f>
        <v>2461051.5</v>
      </c>
      <c r="I152" s="188">
        <f>$AH$3*24</f>
        <v>10.5</v>
      </c>
      <c r="J152" s="188">
        <f>G152-2451545</f>
        <v>9506.9375</v>
      </c>
      <c r="K152" s="188">
        <f>G152-2451545</f>
        <v>9506.9375</v>
      </c>
      <c r="L152" s="188">
        <f>AVERAGE(H152-2451545)/36525</f>
        <v>0.26027378507871324</v>
      </c>
      <c r="M152" s="188">
        <f>6.697374558+(0.065707485828*K152)+(1.0027379093*I152)+(0.0854103*L152)+(0.000025862*L152*L152)</f>
        <v>641.92531546860243</v>
      </c>
      <c r="N152" s="188">
        <f>M152-24*(ROUNDDOWN(M152/24,0))</f>
        <v>17.925315468602435</v>
      </c>
      <c r="O152" s="188">
        <f>125.04-0.052954*J152</f>
        <v>-378.39036837499998</v>
      </c>
      <c r="P152" s="188">
        <f>280.47+0.98565*J152</f>
        <v>9650.9829468749995</v>
      </c>
      <c r="Q152" s="188">
        <f>23.4393-0.0000004*J152</f>
        <v>23.435497224999999</v>
      </c>
      <c r="R152" s="188">
        <f>-0.000319*SIN(RADIANS(O152))-0.000024*SIN((RADIANS(2*P152)))</f>
        <v>1.1668967270040724E-4</v>
      </c>
      <c r="S152" s="188">
        <f>N152+R152*COS(RADIANS(Q152))</f>
        <v>17.925422532357235</v>
      </c>
      <c r="T152" s="188">
        <f>S152-'Data Entry-V'!$F$9/15</f>
        <v>29.556533643468349</v>
      </c>
      <c r="U152" s="188">
        <f>IF(T152&lt;0,T152+24,IF(T152&gt;24,T152-24,T152))</f>
        <v>5.5565336434683488</v>
      </c>
      <c r="V152" s="188">
        <f>U152-B152</f>
        <v>-16.23066635653165</v>
      </c>
      <c r="W152" s="188">
        <f>V152*15</f>
        <v>-243.45999534797474</v>
      </c>
      <c r="X152" s="188">
        <f>IF(W152&lt;0,W152+360,W152)</f>
        <v>116.54000465202526</v>
      </c>
      <c r="Y152" s="188">
        <f>-SIN(RADIANS(X152))</f>
        <v>-0.89462260242017089</v>
      </c>
      <c r="Z152" s="188">
        <f>TAN(RADIANS(C152))*COS(RADIANS('Data Entry-V'!$F$8))-SIN(RADIANS('Data Entry-V'!$F$8))*COS(RADIANS(X152))</f>
        <v>-0.23031487399351944</v>
      </c>
      <c r="AA152" s="188">
        <f>DEGREES(ATAN2(Z152,Y152))</f>
        <v>-104.43693517717826</v>
      </c>
      <c r="AB152" s="126">
        <f>IF(AA152&lt;0,AA152+360,AA152)</f>
        <v>255.56306482282173</v>
      </c>
      <c r="AC152" s="126">
        <f>DEGREES(ASIN((SIN(RADIANS('Data Entry-V'!$F$8))*SIN(RADIANS(C152)))+(COS(RADIANS('Data Entry-V'!$F$8))*COS(RADIANS(C152))*COS(RADIANS((U152-B152)*15)))))</f>
        <v>-22.664269932161147</v>
      </c>
      <c r="AD152" s="188">
        <f>1/(COS((4*ATAN(1))/2-(AC152*(4*ATAN(1))/180)))</f>
        <v>-2.5951736747646166</v>
      </c>
      <c r="AE152" s="188" t="str">
        <f>IF(AC152&gt;10,AD152-((AD152-1)*(0.0018161+(AD152-1)*(0.002875+(AD152-1)*0.0008083))),"")</f>
        <v/>
      </c>
      <c r="AF152" s="87"/>
      <c r="AG152" s="87"/>
      <c r="AH152" s="87"/>
      <c r="AI152" s="87"/>
    </row>
    <row r="153" spans="1:35">
      <c r="A153" s="42" t="s">
        <v>220</v>
      </c>
      <c r="B153" s="187">
        <v>22.696000000000002</v>
      </c>
      <c r="C153" s="187">
        <v>29.307500000000001</v>
      </c>
      <c r="D153" s="172">
        <v>4.79</v>
      </c>
      <c r="E153" s="172">
        <v>-0.01</v>
      </c>
      <c r="F153" s="172">
        <v>0</v>
      </c>
      <c r="G153" s="188">
        <f>IF($AH$3&gt;0.5,($AH$2+2415019)+((((HOUR($AH$3)*60)+MINUTE($AH$3))/1440+DAY($AH$2))-0.5)-DAY($AH$2),($AH$2+2415019)+((((HOUR($AH$3)*60)+MINUTE($AH$3))/1440+DAY($AH$2))-1.5)-DAY($AH$2)+1)</f>
        <v>2461051.9375</v>
      </c>
      <c r="H153" s="188">
        <f>IF((G153-ROUNDDOWN(G153,0))&lt;0.5,ROUNDDOWN(G153,0)-0.5,ROUNDDOWN(G153,0)+0.5)</f>
        <v>2461051.5</v>
      </c>
      <c r="I153" s="188">
        <f>$AH$3*24</f>
        <v>10.5</v>
      </c>
      <c r="J153" s="188">
        <f>G153-2451545</f>
        <v>9506.9375</v>
      </c>
      <c r="K153" s="188">
        <f>G153-2451545</f>
        <v>9506.9375</v>
      </c>
      <c r="L153" s="188">
        <f>AVERAGE(H153-2451545)/36525</f>
        <v>0.26027378507871324</v>
      </c>
      <c r="M153" s="188">
        <f>6.697374558+(0.065707485828*K153)+(1.0027379093*I153)+(0.0854103*L153)+(0.000025862*L153*L153)</f>
        <v>641.92531546860243</v>
      </c>
      <c r="N153" s="188">
        <f>M153-24*(ROUNDDOWN(M153/24,0))</f>
        <v>17.925315468602435</v>
      </c>
      <c r="O153" s="188">
        <f>125.04-0.052954*J153</f>
        <v>-378.39036837499998</v>
      </c>
      <c r="P153" s="188">
        <f>280.47+0.98565*J153</f>
        <v>9650.9829468749995</v>
      </c>
      <c r="Q153" s="188">
        <f>23.4393-0.0000004*J153</f>
        <v>23.435497224999999</v>
      </c>
      <c r="R153" s="188">
        <f>-0.000319*SIN(RADIANS(O153))-0.000024*SIN((RADIANS(2*P153)))</f>
        <v>1.1668967270040724E-4</v>
      </c>
      <c r="S153" s="188">
        <f>N153+R153*COS(RADIANS(Q153))</f>
        <v>17.925422532357235</v>
      </c>
      <c r="T153" s="188">
        <f>S153-'Data Entry-V'!$F$9/15</f>
        <v>29.556533643468349</v>
      </c>
      <c r="U153" s="188">
        <f>IF(T153&lt;0,T153+24,IF(T153&gt;24,T153-24,T153))</f>
        <v>5.5565336434683488</v>
      </c>
      <c r="V153" s="188">
        <f>U153-B153</f>
        <v>-17.139466356531653</v>
      </c>
      <c r="W153" s="188">
        <f>V153*15</f>
        <v>-257.09199534797477</v>
      </c>
      <c r="X153" s="188">
        <f>IF(W153&lt;0,W153+360,W153)</f>
        <v>102.90800465202523</v>
      </c>
      <c r="Y153" s="188">
        <f>-SIN(RADIANS(X153))</f>
        <v>-0.97472999495551327</v>
      </c>
      <c r="Z153" s="188">
        <f>TAN(RADIANS(C153))*COS(RADIANS('Data Entry-V'!$F$8))-SIN(RADIANS('Data Entry-V'!$F$8))*COS(RADIANS(X153))</f>
        <v>0.31537391473251936</v>
      </c>
      <c r="AA153" s="188">
        <f>DEGREES(ATAN2(Z153,Y153))</f>
        <v>-72.071011075197688</v>
      </c>
      <c r="AB153" s="126">
        <f>IF(AA153&lt;0,AA153+360,AA153)</f>
        <v>287.9289889248023</v>
      </c>
      <c r="AC153" s="126">
        <f>DEGREES(ASIN((SIN(RADIANS('Data Entry-V'!$F$8))*SIN(RADIANS(C153)))+(COS(RADIANS('Data Entry-V'!$F$8))*COS(RADIANS(C153))*COS(RADIANS((U153-B153)*15)))))</f>
        <v>-26.702486025420065</v>
      </c>
      <c r="AD153" s="188">
        <f>1/(COS((4*ATAN(1))/2-(AC153*(4*ATAN(1))/180)))</f>
        <v>-2.2253983058482785</v>
      </c>
      <c r="AE153" s="188" t="str">
        <f>IF(AC153&gt;10,AD153-((AD153-1)*(0.0018161+(AD153-1)*(0.002875+(AD153-1)*0.0008083))),"")</f>
        <v/>
      </c>
      <c r="AF153" s="87"/>
      <c r="AG153" s="87"/>
      <c r="AH153" s="87"/>
      <c r="AI153" s="87"/>
    </row>
    <row r="154" spans="1:35">
      <c r="A154" s="42" t="s">
        <v>221</v>
      </c>
      <c r="B154" s="187">
        <v>13.7317</v>
      </c>
      <c r="C154" s="187">
        <v>-5.4988999999999999</v>
      </c>
      <c r="D154" s="172">
        <v>6.52</v>
      </c>
      <c r="E154" s="172">
        <v>0.04</v>
      </c>
      <c r="F154" s="172">
        <v>0.02</v>
      </c>
      <c r="G154" s="188">
        <f>IF($AH$3&gt;0.5,($AH$2+2415019)+((((HOUR($AH$3)*60)+MINUTE($AH$3))/1440+DAY($AH$2))-0.5)-DAY($AH$2),($AH$2+2415019)+((((HOUR($AH$3)*60)+MINUTE($AH$3))/1440+DAY($AH$2))-1.5)-DAY($AH$2)+1)</f>
        <v>2461051.9375</v>
      </c>
      <c r="H154" s="188">
        <f>IF((G154-ROUNDDOWN(G154,0))&lt;0.5,ROUNDDOWN(G154,0)-0.5,ROUNDDOWN(G154,0)+0.5)</f>
        <v>2461051.5</v>
      </c>
      <c r="I154" s="188">
        <f>$AH$3*24</f>
        <v>10.5</v>
      </c>
      <c r="J154" s="188">
        <f>G154-2451545</f>
        <v>9506.9375</v>
      </c>
      <c r="K154" s="188">
        <f>G154-2451545</f>
        <v>9506.9375</v>
      </c>
      <c r="L154" s="188">
        <f>AVERAGE(H154-2451545)/36525</f>
        <v>0.26027378507871324</v>
      </c>
      <c r="M154" s="188">
        <f>6.697374558+(0.065707485828*K154)+(1.0027379093*I154)+(0.0854103*L154)+(0.000025862*L154*L154)</f>
        <v>641.92531546860243</v>
      </c>
      <c r="N154" s="188">
        <f>M154-24*(ROUNDDOWN(M154/24,0))</f>
        <v>17.925315468602435</v>
      </c>
      <c r="O154" s="188">
        <f>125.04-0.052954*J154</f>
        <v>-378.39036837499998</v>
      </c>
      <c r="P154" s="188">
        <f>280.47+0.98565*J154</f>
        <v>9650.9829468749995</v>
      </c>
      <c r="Q154" s="188">
        <f>23.4393-0.0000004*J154</f>
        <v>23.435497224999999</v>
      </c>
      <c r="R154" s="188">
        <f>-0.000319*SIN(RADIANS(O154))-0.000024*SIN((RADIANS(2*P154)))</f>
        <v>1.1668967270040724E-4</v>
      </c>
      <c r="S154" s="188">
        <f>N154+R154*COS(RADIANS(Q154))</f>
        <v>17.925422532357235</v>
      </c>
      <c r="T154" s="188">
        <f>S154-'Data Entry-V'!$F$9/15</f>
        <v>29.556533643468349</v>
      </c>
      <c r="U154" s="188">
        <f>IF(T154&lt;0,T154+24,IF(T154&gt;24,T154-24,T154))</f>
        <v>5.5565336434683488</v>
      </c>
      <c r="V154" s="188">
        <f>U154-B154</f>
        <v>-8.1751663565316512</v>
      </c>
      <c r="W154" s="188">
        <f>V154*15</f>
        <v>-122.62749534797477</v>
      </c>
      <c r="X154" s="188">
        <f>IF(W154&lt;0,W154+360,W154)</f>
        <v>237.37250465202521</v>
      </c>
      <c r="Y154" s="188">
        <f>-SIN(RADIANS(X154))</f>
        <v>0.84219375234473992</v>
      </c>
      <c r="Z154" s="188">
        <f>TAN(RADIANS(C154))*COS(RADIANS('Data Entry-V'!$F$8))-SIN(RADIANS('Data Entry-V'!$F$8))*COS(RADIANS(X154))</f>
        <v>-0.40028225183414068</v>
      </c>
      <c r="AA154" s="188">
        <f>DEGREES(ATAN2(Z154,Y154))</f>
        <v>115.42105065823068</v>
      </c>
      <c r="AB154" s="126">
        <f>IF(AA154&lt;0,AA154+360,AA154)</f>
        <v>115.42105065823068</v>
      </c>
      <c r="AC154" s="126">
        <f>DEGREES(ASIN((SIN(RADIANS('Data Entry-V'!$F$8))*SIN(RADIANS(C154)))+(COS(RADIANS('Data Entry-V'!$F$8))*COS(RADIANS(C154))*COS(RADIANS((U154-B154)*15)))))</f>
        <v>-21.846012469433774</v>
      </c>
      <c r="AD154" s="188">
        <f>1/(COS((4*ATAN(1))/2-(AC154*(4*ATAN(1))/180)))</f>
        <v>-2.6873531661503147</v>
      </c>
      <c r="AE154" s="188" t="str">
        <f>IF(AC154&gt;10,AD154-((AD154-1)*(0.0018161+(AD154-1)*(0.002875+(AD154-1)*0.0008083))),"")</f>
        <v/>
      </c>
      <c r="AF154" s="87"/>
      <c r="AG154" s="87"/>
      <c r="AH154" s="87"/>
      <c r="AI154" s="87"/>
    </row>
    <row r="155" spans="1:35">
      <c r="A155" s="42" t="s">
        <v>222</v>
      </c>
      <c r="B155" s="187">
        <v>14.275</v>
      </c>
      <c r="C155" s="187">
        <v>-3.1962999999999999</v>
      </c>
      <c r="D155" s="172">
        <v>6.14</v>
      </c>
      <c r="E155" s="172">
        <v>0</v>
      </c>
      <c r="F155" s="172">
        <v>-0.01</v>
      </c>
      <c r="G155" s="188">
        <f>IF($AH$3&gt;0.5,($AH$2+2415019)+((((HOUR($AH$3)*60)+MINUTE($AH$3))/1440+DAY($AH$2))-0.5)-DAY($AH$2),($AH$2+2415019)+((((HOUR($AH$3)*60)+MINUTE($AH$3))/1440+DAY($AH$2))-1.5)-DAY($AH$2)+1)</f>
        <v>2461051.9375</v>
      </c>
      <c r="H155" s="188">
        <f>IF((G155-ROUNDDOWN(G155,0))&lt;0.5,ROUNDDOWN(G155,0)-0.5,ROUNDDOWN(G155,0)+0.5)</f>
        <v>2461051.5</v>
      </c>
      <c r="I155" s="188">
        <f>$AH$3*24</f>
        <v>10.5</v>
      </c>
      <c r="J155" s="188">
        <f>G155-2451545</f>
        <v>9506.9375</v>
      </c>
      <c r="K155" s="188">
        <f>G155-2451545</f>
        <v>9506.9375</v>
      </c>
      <c r="L155" s="188">
        <f>AVERAGE(H155-2451545)/36525</f>
        <v>0.26027378507871324</v>
      </c>
      <c r="M155" s="188">
        <f>6.697374558+(0.065707485828*K155)+(1.0027379093*I155)+(0.0854103*L155)+(0.000025862*L155*L155)</f>
        <v>641.92531546860243</v>
      </c>
      <c r="N155" s="188">
        <f>M155-24*(ROUNDDOWN(M155/24,0))</f>
        <v>17.925315468602435</v>
      </c>
      <c r="O155" s="188">
        <f>125.04-0.052954*J155</f>
        <v>-378.39036837499998</v>
      </c>
      <c r="P155" s="188">
        <f>280.47+0.98565*J155</f>
        <v>9650.9829468749995</v>
      </c>
      <c r="Q155" s="188">
        <f>23.4393-0.0000004*J155</f>
        <v>23.435497224999999</v>
      </c>
      <c r="R155" s="188">
        <f>-0.000319*SIN(RADIANS(O155))-0.000024*SIN((RADIANS(2*P155)))</f>
        <v>1.1668967270040724E-4</v>
      </c>
      <c r="S155" s="188">
        <f>N155+R155*COS(RADIANS(Q155))</f>
        <v>17.925422532357235</v>
      </c>
      <c r="T155" s="188">
        <f>S155-'Data Entry-V'!$F$9/15</f>
        <v>29.556533643468349</v>
      </c>
      <c r="U155" s="188">
        <f>IF(T155&lt;0,T155+24,IF(T155&gt;24,T155-24,T155))</f>
        <v>5.5565336434683488</v>
      </c>
      <c r="V155" s="188">
        <f>U155-B155</f>
        <v>-8.7184663565316516</v>
      </c>
      <c r="W155" s="188">
        <f>V155*15</f>
        <v>-130.77699534797478</v>
      </c>
      <c r="X155" s="188">
        <f>IF(W155&lt;0,W155+360,W155)</f>
        <v>229.22300465202522</v>
      </c>
      <c r="Y155" s="188">
        <f>-SIN(RADIANS(X155))</f>
        <v>0.75725734752285323</v>
      </c>
      <c r="Z155" s="188">
        <f>TAN(RADIANS(C155))*COS(RADIANS('Data Entry-V'!$F$8))-SIN(RADIANS('Data Entry-V'!$F$8))*COS(RADIANS(X155))</f>
        <v>-0.43623294383029437</v>
      </c>
      <c r="AA155" s="188">
        <f>DEGREES(ATAN2(Z155,Y155))</f>
        <v>119.94493714907374</v>
      </c>
      <c r="AB155" s="126">
        <f>IF(AA155&lt;0,AA155+360,AA155)</f>
        <v>119.94493714907374</v>
      </c>
      <c r="AC155" s="126">
        <f>DEGREES(ASIN((SIN(RADIANS('Data Entry-V'!$F$8))*SIN(RADIANS(C155)))+(COS(RADIANS('Data Entry-V'!$F$8))*COS(RADIANS(C155))*COS(RADIANS((U155-B155)*15)))))</f>
        <v>-29.242322277336534</v>
      </c>
      <c r="AD155" s="188">
        <f>1/(COS((4*ATAN(1))/2-(AC155*(4*ATAN(1))/180)))</f>
        <v>-2.0470647983918657</v>
      </c>
      <c r="AE155" s="188" t="str">
        <f>IF(AC155&gt;10,AD155-((AD155-1)*(0.0018161+(AD155-1)*(0.002875+(AD155-1)*0.0008083))),"")</f>
        <v/>
      </c>
      <c r="AF155" s="87"/>
      <c r="AG155" s="87"/>
      <c r="AH155" s="87"/>
      <c r="AI155" s="87"/>
    </row>
    <row r="156" spans="1:35">
      <c r="A156" s="42" t="s">
        <v>223</v>
      </c>
      <c r="B156" s="187">
        <v>14.342599999999999</v>
      </c>
      <c r="C156" s="187">
        <v>-37.885300000000001</v>
      </c>
      <c r="D156" s="172">
        <v>4.04</v>
      </c>
      <c r="E156" s="172">
        <v>-0.03</v>
      </c>
      <c r="F156" s="172">
        <v>-0.11</v>
      </c>
      <c r="G156" s="188">
        <f>IF($AH$3&gt;0.5,($AH$2+2415019)+((((HOUR($AH$3)*60)+MINUTE($AH$3))/1440+DAY($AH$2))-0.5)-DAY($AH$2),($AH$2+2415019)+((((HOUR($AH$3)*60)+MINUTE($AH$3))/1440+DAY($AH$2))-1.5)-DAY($AH$2)+1)</f>
        <v>2461051.9375</v>
      </c>
      <c r="H156" s="188">
        <f>IF((G156-ROUNDDOWN(G156,0))&lt;0.5,ROUNDDOWN(G156,0)-0.5,ROUNDDOWN(G156,0)+0.5)</f>
        <v>2461051.5</v>
      </c>
      <c r="I156" s="188">
        <f>$AH$3*24</f>
        <v>10.5</v>
      </c>
      <c r="J156" s="188">
        <f>G156-2451545</f>
        <v>9506.9375</v>
      </c>
      <c r="K156" s="188">
        <f>G156-2451545</f>
        <v>9506.9375</v>
      </c>
      <c r="L156" s="188">
        <f>AVERAGE(H156-2451545)/36525</f>
        <v>0.26027378507871324</v>
      </c>
      <c r="M156" s="188">
        <f>6.697374558+(0.065707485828*K156)+(1.0027379093*I156)+(0.0854103*L156)+(0.000025862*L156*L156)</f>
        <v>641.92531546860243</v>
      </c>
      <c r="N156" s="188">
        <f>M156-24*(ROUNDDOWN(M156/24,0))</f>
        <v>17.925315468602435</v>
      </c>
      <c r="O156" s="188">
        <f>125.04-0.052954*J156</f>
        <v>-378.39036837499998</v>
      </c>
      <c r="P156" s="188">
        <f>280.47+0.98565*J156</f>
        <v>9650.9829468749995</v>
      </c>
      <c r="Q156" s="188">
        <f>23.4393-0.0000004*J156</f>
        <v>23.435497224999999</v>
      </c>
      <c r="R156" s="188">
        <f>-0.000319*SIN(RADIANS(O156))-0.000024*SIN((RADIANS(2*P156)))</f>
        <v>1.1668967270040724E-4</v>
      </c>
      <c r="S156" s="188">
        <f>N156+R156*COS(RADIANS(Q156))</f>
        <v>17.925422532357235</v>
      </c>
      <c r="T156" s="188">
        <f>S156-'Data Entry-V'!$F$9/15</f>
        <v>29.556533643468349</v>
      </c>
      <c r="U156" s="188">
        <f>IF(T156&lt;0,T156+24,IF(T156&gt;24,T156-24,T156))</f>
        <v>5.5565336434683488</v>
      </c>
      <c r="V156" s="188">
        <f>U156-B156</f>
        <v>-8.7860663565316504</v>
      </c>
      <c r="W156" s="188">
        <f>V156*15</f>
        <v>-131.79099534797476</v>
      </c>
      <c r="X156" s="188">
        <f>IF(W156&lt;0,W156+360,W156)</f>
        <v>228.20900465202524</v>
      </c>
      <c r="Y156" s="188">
        <f>-SIN(RADIANS(X156))</f>
        <v>0.74558074326945079</v>
      </c>
      <c r="Z156" s="188">
        <f>TAN(RADIANS(C156))*COS(RADIANS('Data Entry-V'!$F$8))-SIN(RADIANS('Data Entry-V'!$F$8))*COS(RADIANS(X156))</f>
        <v>-1.022260103130707</v>
      </c>
      <c r="AA156" s="188">
        <f>DEGREES(ATAN2(Z156,Y156))</f>
        <v>143.89502927195565</v>
      </c>
      <c r="AB156" s="126">
        <f>IF(AA156&lt;0,AA156+360,AA156)</f>
        <v>143.89502927195565</v>
      </c>
      <c r="AC156" s="126">
        <f>DEGREES(ASIN((SIN(RADIANS('Data Entry-V'!$F$8))*SIN(RADIANS(C156)))+(COS(RADIANS('Data Entry-V'!$F$8))*COS(RADIANS(C156))*COS(RADIANS((U156-B156)*15)))))</f>
        <v>-3.028657371794107</v>
      </c>
      <c r="AD156" s="188">
        <f>1/(COS((4*ATAN(1))/2-(AC156*(4*ATAN(1))/180)))</f>
        <v>-18.926693801961296</v>
      </c>
      <c r="AE156" s="188" t="str">
        <f>IF(AC156&gt;10,AD156-((AD156-1)*(0.0018161+(AD156-1)*(0.002875+(AD156-1)*0.0008083))),"")</f>
        <v/>
      </c>
      <c r="AF156" s="87"/>
      <c r="AG156" s="87"/>
      <c r="AH156" s="87"/>
      <c r="AI156" s="87"/>
    </row>
    <row r="157" spans="1:35">
      <c r="A157" s="42" t="s">
        <v>224</v>
      </c>
      <c r="B157" s="187">
        <v>14.7498</v>
      </c>
      <c r="C157" s="187">
        <v>-35.191800000000001</v>
      </c>
      <c r="D157" s="172">
        <v>4.92</v>
      </c>
      <c r="E157" s="172">
        <v>0.02</v>
      </c>
      <c r="F157" s="172">
        <v>-0.04</v>
      </c>
      <c r="G157" s="188">
        <f>IF($AH$3&gt;0.5,($AH$2+2415019)+((((HOUR($AH$3)*60)+MINUTE($AH$3))/1440+DAY($AH$2))-0.5)-DAY($AH$2),($AH$2+2415019)+((((HOUR($AH$3)*60)+MINUTE($AH$3))/1440+DAY($AH$2))-1.5)-DAY($AH$2)+1)</f>
        <v>2461051.9375</v>
      </c>
      <c r="H157" s="188">
        <f>IF((G157-ROUNDDOWN(G157,0))&lt;0.5,ROUNDDOWN(G157,0)-0.5,ROUNDDOWN(G157,0)+0.5)</f>
        <v>2461051.5</v>
      </c>
      <c r="I157" s="188">
        <f>$AH$3*24</f>
        <v>10.5</v>
      </c>
      <c r="J157" s="188">
        <f>G157-2451545</f>
        <v>9506.9375</v>
      </c>
      <c r="K157" s="188">
        <f>G157-2451545</f>
        <v>9506.9375</v>
      </c>
      <c r="L157" s="188">
        <f>AVERAGE(H157-2451545)/36525</f>
        <v>0.26027378507871324</v>
      </c>
      <c r="M157" s="188">
        <f>6.697374558+(0.065707485828*K157)+(1.0027379093*I157)+(0.0854103*L157)+(0.000025862*L157*L157)</f>
        <v>641.92531546860243</v>
      </c>
      <c r="N157" s="188">
        <f>M157-24*(ROUNDDOWN(M157/24,0))</f>
        <v>17.925315468602435</v>
      </c>
      <c r="O157" s="188">
        <f>125.04-0.052954*J157</f>
        <v>-378.39036837499998</v>
      </c>
      <c r="P157" s="188">
        <f>280.47+0.98565*J157</f>
        <v>9650.9829468749995</v>
      </c>
      <c r="Q157" s="188">
        <f>23.4393-0.0000004*J157</f>
        <v>23.435497224999999</v>
      </c>
      <c r="R157" s="188">
        <f>-0.000319*SIN(RADIANS(O157))-0.000024*SIN((RADIANS(2*P157)))</f>
        <v>1.1668967270040724E-4</v>
      </c>
      <c r="S157" s="188">
        <f>N157+R157*COS(RADIANS(Q157))</f>
        <v>17.925422532357235</v>
      </c>
      <c r="T157" s="188">
        <f>S157-'Data Entry-V'!$F$9/15</f>
        <v>29.556533643468349</v>
      </c>
      <c r="U157" s="188">
        <f>IF(T157&lt;0,T157+24,IF(T157&gt;24,T157-24,T157))</f>
        <v>5.5565336434683488</v>
      </c>
      <c r="V157" s="188">
        <f>U157-B157</f>
        <v>-9.1932663565316517</v>
      </c>
      <c r="W157" s="188">
        <f>V157*15</f>
        <v>-137.89899534797479</v>
      </c>
      <c r="X157" s="188">
        <f>IF(W157&lt;0,W157+360,W157)</f>
        <v>222.10100465202521</v>
      </c>
      <c r="Y157" s="188">
        <f>-SIN(RADIANS(X157))</f>
        <v>0.67043962902049037</v>
      </c>
      <c r="Z157" s="188">
        <f>TAN(RADIANS(C157))*COS(RADIANS('Data Entry-V'!$F$8))-SIN(RADIANS('Data Entry-V'!$F$8))*COS(RADIANS(X157))</f>
        <v>-1.0092359423916653</v>
      </c>
      <c r="AA157" s="188">
        <f>DEGREES(ATAN2(Z157,Y157))</f>
        <v>146.4037468368978</v>
      </c>
      <c r="AB157" s="126">
        <f>IF(AA157&lt;0,AA157+360,AA157)</f>
        <v>146.4037468368978</v>
      </c>
      <c r="AC157" s="126">
        <f>DEGREES(ASIN((SIN(RADIANS('Data Entry-V'!$F$8))*SIN(RADIANS(C157)))+(COS(RADIANS('Data Entry-V'!$F$8))*COS(RADIANS(C157))*COS(RADIANS((U157-B157)*15)))))</f>
        <v>-8.0374220089367139</v>
      </c>
      <c r="AD157" s="188">
        <f>1/(COS((4*ATAN(1))/2-(AC157*(4*ATAN(1))/180)))</f>
        <v>-7.152060198800811</v>
      </c>
      <c r="AE157" s="188" t="str">
        <f>IF(AC157&gt;10,AD157-((AD157-1)*(0.0018161+(AD157-1)*(0.002875+(AD157-1)*0.0008083))),"")</f>
        <v/>
      </c>
      <c r="AF157" s="87"/>
      <c r="AG157" s="87"/>
      <c r="AH157" s="87"/>
      <c r="AI157" s="87"/>
    </row>
    <row r="158" spans="1:35">
      <c r="A158" s="42" t="s">
        <v>225</v>
      </c>
      <c r="B158" s="187">
        <v>15.2919</v>
      </c>
      <c r="C158" s="187">
        <v>-58.801200000000001</v>
      </c>
      <c r="D158" s="172">
        <v>4.0599999999999996</v>
      </c>
      <c r="E158" s="172">
        <v>0.09</v>
      </c>
      <c r="F158" s="172">
        <v>0.08</v>
      </c>
      <c r="G158" s="188">
        <f>IF($AH$3&gt;0.5,($AH$2+2415019)+((((HOUR($AH$3)*60)+MINUTE($AH$3))/1440+DAY($AH$2))-0.5)-DAY($AH$2),($AH$2+2415019)+((((HOUR($AH$3)*60)+MINUTE($AH$3))/1440+DAY($AH$2))-1.5)-DAY($AH$2)+1)</f>
        <v>2461051.9375</v>
      </c>
      <c r="H158" s="188">
        <f>IF((G158-ROUNDDOWN(G158,0))&lt;0.5,ROUNDDOWN(G158,0)-0.5,ROUNDDOWN(G158,0)+0.5)</f>
        <v>2461051.5</v>
      </c>
      <c r="I158" s="188">
        <f>$AH$3*24</f>
        <v>10.5</v>
      </c>
      <c r="J158" s="188">
        <f>G158-2451545</f>
        <v>9506.9375</v>
      </c>
      <c r="K158" s="188">
        <f>G158-2451545</f>
        <v>9506.9375</v>
      </c>
      <c r="L158" s="188">
        <f>AVERAGE(H158-2451545)/36525</f>
        <v>0.26027378507871324</v>
      </c>
      <c r="M158" s="188">
        <f>6.697374558+(0.065707485828*K158)+(1.0027379093*I158)+(0.0854103*L158)+(0.000025862*L158*L158)</f>
        <v>641.92531546860243</v>
      </c>
      <c r="N158" s="188">
        <f>M158-24*(ROUNDDOWN(M158/24,0))</f>
        <v>17.925315468602435</v>
      </c>
      <c r="O158" s="188">
        <f>125.04-0.052954*J158</f>
        <v>-378.39036837499998</v>
      </c>
      <c r="P158" s="188">
        <f>280.47+0.98565*J158</f>
        <v>9650.9829468749995</v>
      </c>
      <c r="Q158" s="188">
        <f>23.4393-0.0000004*J158</f>
        <v>23.435497224999999</v>
      </c>
      <c r="R158" s="188">
        <f>-0.000319*SIN(RADIANS(O158))-0.000024*SIN((RADIANS(2*P158)))</f>
        <v>1.1668967270040724E-4</v>
      </c>
      <c r="S158" s="188">
        <f>N158+R158*COS(RADIANS(Q158))</f>
        <v>17.925422532357235</v>
      </c>
      <c r="T158" s="188">
        <f>S158-'Data Entry-V'!$F$9/15</f>
        <v>29.556533643468349</v>
      </c>
      <c r="U158" s="188">
        <f>IF(T158&lt;0,T158+24,IF(T158&gt;24,T158-24,T158))</f>
        <v>5.5565336434683488</v>
      </c>
      <c r="V158" s="188">
        <f>U158-B158</f>
        <v>-9.7353663565316513</v>
      </c>
      <c r="W158" s="188">
        <f>V158*15</f>
        <v>-146.03049534797478</v>
      </c>
      <c r="X158" s="188">
        <f>IF(W158&lt;0,W158+360,W158)</f>
        <v>213.96950465202522</v>
      </c>
      <c r="Y158" s="188">
        <f>-SIN(RADIANS(X158))</f>
        <v>0.55875157382303442</v>
      </c>
      <c r="Z158" s="188">
        <f>TAN(RADIANS(C158))*COS(RADIANS('Data Entry-V'!$F$8))-SIN(RADIANS('Data Entry-V'!$F$8))*COS(RADIANS(X158))</f>
        <v>-1.8188289960529707</v>
      </c>
      <c r="AA158" s="188">
        <f>DEGREES(ATAN2(Z158,Y158))</f>
        <v>162.92283190124957</v>
      </c>
      <c r="AB158" s="126">
        <f>IF(AA158&lt;0,AA158+360,AA158)</f>
        <v>162.92283190124957</v>
      </c>
      <c r="AC158" s="126">
        <f>DEGREES(ASIN((SIN(RADIANS('Data Entry-V'!$F$8))*SIN(RADIANS(C158)))+(COS(RADIANS('Data Entry-V'!$F$8))*COS(RADIANS(C158))*COS(RADIANS((U158-B158)*15)))))</f>
        <v>9.7262723720681574</v>
      </c>
      <c r="AD158" s="188">
        <f>1/(COS((4*ATAN(1))/2-(AC158*(4*ATAN(1))/180)))</f>
        <v>5.9192141261072235</v>
      </c>
      <c r="AE158" s="188" t="str">
        <f>IF(AC158&gt;10,AD158-((AD158-1)*(0.0018161+(AD158-1)*(0.002875+(AD158-1)*0.0008083))),"")</f>
        <v/>
      </c>
      <c r="AF158" s="87"/>
      <c r="AG158" s="87"/>
      <c r="AH158" s="87"/>
      <c r="AI158" s="87"/>
    </row>
    <row r="159" spans="1:35">
      <c r="A159" s="42" t="s">
        <v>226</v>
      </c>
      <c r="B159" s="187">
        <v>15.4223</v>
      </c>
      <c r="C159" s="187">
        <v>-38.733600000000003</v>
      </c>
      <c r="D159" s="172">
        <v>4.5999999999999996</v>
      </c>
      <c r="E159" s="172">
        <v>0</v>
      </c>
      <c r="F159" s="172">
        <v>-7.0000000000000007E-2</v>
      </c>
      <c r="G159" s="188">
        <f>IF($AH$3&gt;0.5,($AH$2+2415019)+((((HOUR($AH$3)*60)+MINUTE($AH$3))/1440+DAY($AH$2))-0.5)-DAY($AH$2),($AH$2+2415019)+((((HOUR($AH$3)*60)+MINUTE($AH$3))/1440+DAY($AH$2))-1.5)-DAY($AH$2)+1)</f>
        <v>2461051.9375</v>
      </c>
      <c r="H159" s="188">
        <f>IF((G159-ROUNDDOWN(G159,0))&lt;0.5,ROUNDDOWN(G159,0)-0.5,ROUNDDOWN(G159,0)+0.5)</f>
        <v>2461051.5</v>
      </c>
      <c r="I159" s="188">
        <f>$AH$3*24</f>
        <v>10.5</v>
      </c>
      <c r="J159" s="188">
        <f>G159-2451545</f>
        <v>9506.9375</v>
      </c>
      <c r="K159" s="188">
        <f>G159-2451545</f>
        <v>9506.9375</v>
      </c>
      <c r="L159" s="188">
        <f>AVERAGE(H159-2451545)/36525</f>
        <v>0.26027378507871324</v>
      </c>
      <c r="M159" s="188">
        <f>6.697374558+(0.065707485828*K159)+(1.0027379093*I159)+(0.0854103*L159)+(0.000025862*L159*L159)</f>
        <v>641.92531546860243</v>
      </c>
      <c r="N159" s="188">
        <f>M159-24*(ROUNDDOWN(M159/24,0))</f>
        <v>17.925315468602435</v>
      </c>
      <c r="O159" s="188">
        <f>125.04-0.052954*J159</f>
        <v>-378.39036837499998</v>
      </c>
      <c r="P159" s="188">
        <f>280.47+0.98565*J159</f>
        <v>9650.9829468749995</v>
      </c>
      <c r="Q159" s="188">
        <f>23.4393-0.0000004*J159</f>
        <v>23.435497224999999</v>
      </c>
      <c r="R159" s="188">
        <f>-0.000319*SIN(RADIANS(O159))-0.000024*SIN((RADIANS(2*P159)))</f>
        <v>1.1668967270040724E-4</v>
      </c>
      <c r="S159" s="188">
        <f>N159+R159*COS(RADIANS(Q159))</f>
        <v>17.925422532357235</v>
      </c>
      <c r="T159" s="188">
        <f>S159-'Data Entry-V'!$F$9/15</f>
        <v>29.556533643468349</v>
      </c>
      <c r="U159" s="188">
        <f>IF(T159&lt;0,T159+24,IF(T159&gt;24,T159-24,T159))</f>
        <v>5.5565336434683488</v>
      </c>
      <c r="V159" s="188">
        <f>U159-B159</f>
        <v>-9.8657663565316511</v>
      </c>
      <c r="W159" s="188">
        <f>V159*15</f>
        <v>-147.98649534797477</v>
      </c>
      <c r="X159" s="188">
        <f>IF(W159&lt;0,W159+360,W159)</f>
        <v>212.01350465202523</v>
      </c>
      <c r="Y159" s="188">
        <f>-SIN(RADIANS(X159))</f>
        <v>0.53011913499243746</v>
      </c>
      <c r="Z159" s="188">
        <f>TAN(RADIANS(C159))*COS(RADIANS('Data Entry-V'!$F$8))-SIN(RADIANS('Data Entry-V'!$F$8))*COS(RADIANS(X159))</f>
        <v>-1.1503193844939172</v>
      </c>
      <c r="AA159" s="188">
        <f>DEGREES(ATAN2(Z159,Y159))</f>
        <v>155.25761494674956</v>
      </c>
      <c r="AB159" s="126">
        <f>IF(AA159&lt;0,AA159+360,AA159)</f>
        <v>155.25761494674956</v>
      </c>
      <c r="AC159" s="126">
        <f>DEGREES(ASIN((SIN(RADIANS('Data Entry-V'!$F$8))*SIN(RADIANS(C159)))+(COS(RADIANS('Data Entry-V'!$F$8))*COS(RADIANS(C159))*COS(RADIANS((U159-B159)*15)))))</f>
        <v>-8.8761864178696843</v>
      </c>
      <c r="AD159" s="188">
        <f>1/(COS((4*ATAN(1))/2-(AC159*(4*ATAN(1))/180)))</f>
        <v>-6.4808918281199537</v>
      </c>
      <c r="AE159" s="188" t="str">
        <f>IF(AC159&gt;10,AD159-((AD159-1)*(0.0018161+(AD159-1)*(0.002875+(AD159-1)*0.0008083))),"")</f>
        <v/>
      </c>
      <c r="AF159" s="87"/>
      <c r="AG159" s="87"/>
      <c r="AH159" s="87"/>
      <c r="AI159" s="87"/>
    </row>
    <row r="160" spans="1:35">
      <c r="A160" s="42" t="s">
        <v>227</v>
      </c>
      <c r="B160" s="187">
        <v>16.013200000000001</v>
      </c>
      <c r="C160" s="187">
        <v>-8.4114000000000004</v>
      </c>
      <c r="D160" s="172">
        <v>5.55</v>
      </c>
      <c r="E160" s="172">
        <v>0.04</v>
      </c>
      <c r="F160" s="172">
        <v>-0.04</v>
      </c>
      <c r="G160" s="188">
        <f>IF($AH$3&gt;0.5,($AH$2+2415019)+((((HOUR($AH$3)*60)+MINUTE($AH$3))/1440+DAY($AH$2))-0.5)-DAY($AH$2),($AH$2+2415019)+((((HOUR($AH$3)*60)+MINUTE($AH$3))/1440+DAY($AH$2))-1.5)-DAY($AH$2)+1)</f>
        <v>2461051.9375</v>
      </c>
      <c r="H160" s="188">
        <f>IF((G160-ROUNDDOWN(G160,0))&lt;0.5,ROUNDDOWN(G160,0)-0.5,ROUNDDOWN(G160,0)+0.5)</f>
        <v>2461051.5</v>
      </c>
      <c r="I160" s="188">
        <f>$AH$3*24</f>
        <v>10.5</v>
      </c>
      <c r="J160" s="188">
        <f>G160-2451545</f>
        <v>9506.9375</v>
      </c>
      <c r="K160" s="188">
        <f>G160-2451545</f>
        <v>9506.9375</v>
      </c>
      <c r="L160" s="188">
        <f>AVERAGE(H160-2451545)/36525</f>
        <v>0.26027378507871324</v>
      </c>
      <c r="M160" s="188">
        <f>6.697374558+(0.065707485828*K160)+(1.0027379093*I160)+(0.0854103*L160)+(0.000025862*L160*L160)</f>
        <v>641.92531546860243</v>
      </c>
      <c r="N160" s="188">
        <f>M160-24*(ROUNDDOWN(M160/24,0))</f>
        <v>17.925315468602435</v>
      </c>
      <c r="O160" s="188">
        <f>125.04-0.052954*J160</f>
        <v>-378.39036837499998</v>
      </c>
      <c r="P160" s="188">
        <f>280.47+0.98565*J160</f>
        <v>9650.9829468749995</v>
      </c>
      <c r="Q160" s="188">
        <f>23.4393-0.0000004*J160</f>
        <v>23.435497224999999</v>
      </c>
      <c r="R160" s="188">
        <f>-0.000319*SIN(RADIANS(O160))-0.000024*SIN((RADIANS(2*P160)))</f>
        <v>1.1668967270040724E-4</v>
      </c>
      <c r="S160" s="188">
        <f>N160+R160*COS(RADIANS(Q160))</f>
        <v>17.925422532357235</v>
      </c>
      <c r="T160" s="188">
        <f>S160-'Data Entry-V'!$F$9/15</f>
        <v>29.556533643468349</v>
      </c>
      <c r="U160" s="188">
        <f>IF(T160&lt;0,T160+24,IF(T160&gt;24,T160-24,T160))</f>
        <v>5.5565336434683488</v>
      </c>
      <c r="V160" s="188">
        <f>U160-B160</f>
        <v>-10.456666356531652</v>
      </c>
      <c r="W160" s="188">
        <f>V160*15</f>
        <v>-156.84999534797478</v>
      </c>
      <c r="X160" s="188">
        <f>IF(W160&lt;0,W160+360,W160)</f>
        <v>203.15000465202522</v>
      </c>
      <c r="Y160" s="188">
        <f>-SIN(RADIANS(X160))</f>
        <v>0.39313973744911634</v>
      </c>
      <c r="Z160" s="188">
        <f>TAN(RADIANS(C160))*COS(RADIANS('Data Entry-V'!$F$8))-SIN(RADIANS('Data Entry-V'!$F$8))*COS(RADIANS(X160))</f>
        <v>-0.66957067169187456</v>
      </c>
      <c r="AA160" s="188">
        <f>DEGREES(ATAN2(Z160,Y160))</f>
        <v>149.58059063467985</v>
      </c>
      <c r="AB160" s="126">
        <f>IF(AA160&lt;0,AA160+360,AA160)</f>
        <v>149.58059063467985</v>
      </c>
      <c r="AC160" s="126">
        <f>DEGREES(ASIN((SIN(RADIANS('Data Entry-V'!$F$8))*SIN(RADIANS(C160)))+(COS(RADIANS('Data Entry-V'!$F$8))*COS(RADIANS(C160))*COS(RADIANS((U160-B160)*15)))))</f>
        <v>-39.816089695266513</v>
      </c>
      <c r="AD160" s="188">
        <f>1/(COS((4*ATAN(1))/2-(AC160*(4*ATAN(1))/180)))</f>
        <v>-1.5617059159598021</v>
      </c>
      <c r="AE160" s="188" t="str">
        <f>IF(AC160&gt;10,AD160-((AD160-1)*(0.0018161+(AD160-1)*(0.002875+(AD160-1)*0.0008083))),"")</f>
        <v/>
      </c>
      <c r="AF160" s="87"/>
      <c r="AG160" s="87"/>
      <c r="AH160" s="87"/>
      <c r="AI160" s="87"/>
    </row>
    <row r="161" spans="1:35">
      <c r="A161" s="42" t="s">
        <v>228</v>
      </c>
      <c r="B161" s="187">
        <v>16.2</v>
      </c>
      <c r="C161" s="187">
        <v>-10.0641</v>
      </c>
      <c r="D161" s="172">
        <v>4.92</v>
      </c>
      <c r="E161" s="172">
        <v>0.09</v>
      </c>
      <c r="F161" s="172">
        <v>0.1</v>
      </c>
      <c r="G161" s="188">
        <f>IF($AH$3&gt;0.5,($AH$2+2415019)+((((HOUR($AH$3)*60)+MINUTE($AH$3))/1440+DAY($AH$2))-0.5)-DAY($AH$2),($AH$2+2415019)+((((HOUR($AH$3)*60)+MINUTE($AH$3))/1440+DAY($AH$2))-1.5)-DAY($AH$2)+1)</f>
        <v>2461051.9375</v>
      </c>
      <c r="H161" s="188">
        <f>IF((G161-ROUNDDOWN(G161,0))&lt;0.5,ROUNDDOWN(G161,0)-0.5,ROUNDDOWN(G161,0)+0.5)</f>
        <v>2461051.5</v>
      </c>
      <c r="I161" s="188">
        <f>$AH$3*24</f>
        <v>10.5</v>
      </c>
      <c r="J161" s="188">
        <f>G161-2451545</f>
        <v>9506.9375</v>
      </c>
      <c r="K161" s="188">
        <f>G161-2451545</f>
        <v>9506.9375</v>
      </c>
      <c r="L161" s="188">
        <f>AVERAGE(H161-2451545)/36525</f>
        <v>0.26027378507871324</v>
      </c>
      <c r="M161" s="188">
        <f>6.697374558+(0.065707485828*K161)+(1.0027379093*I161)+(0.0854103*L161)+(0.000025862*L161*L161)</f>
        <v>641.92531546860243</v>
      </c>
      <c r="N161" s="188">
        <f>M161-24*(ROUNDDOWN(M161/24,0))</f>
        <v>17.925315468602435</v>
      </c>
      <c r="O161" s="188">
        <f>125.04-0.052954*J161</f>
        <v>-378.39036837499998</v>
      </c>
      <c r="P161" s="188">
        <f>280.47+0.98565*J161</f>
        <v>9650.9829468749995</v>
      </c>
      <c r="Q161" s="188">
        <f>23.4393-0.0000004*J161</f>
        <v>23.435497224999999</v>
      </c>
      <c r="R161" s="188">
        <f>-0.000319*SIN(RADIANS(O161))-0.000024*SIN((RADIANS(2*P161)))</f>
        <v>1.1668967270040724E-4</v>
      </c>
      <c r="S161" s="188">
        <f>N161+R161*COS(RADIANS(Q161))</f>
        <v>17.925422532357235</v>
      </c>
      <c r="T161" s="188">
        <f>S161-'Data Entry-V'!$F$9/15</f>
        <v>29.556533643468349</v>
      </c>
      <c r="U161" s="188">
        <f>IF(T161&lt;0,T161+24,IF(T161&gt;24,T161-24,T161))</f>
        <v>5.5565336434683488</v>
      </c>
      <c r="V161" s="188">
        <f>U161-B161</f>
        <v>-10.643466356531651</v>
      </c>
      <c r="W161" s="188">
        <f>V161*15</f>
        <v>-159.65199534797475</v>
      </c>
      <c r="X161" s="188">
        <f>IF(W161&lt;0,W161+360,W161)</f>
        <v>200.34800465202525</v>
      </c>
      <c r="Y161" s="188">
        <f>-SIN(RADIANS(X161))</f>
        <v>0.34772132985798321</v>
      </c>
      <c r="Z161" s="188">
        <f>TAN(RADIANS(C161))*COS(RADIANS('Data Entry-V'!$F$8))-SIN(RADIANS('Data Entry-V'!$F$8))*COS(RADIANS(X161))</f>
        <v>-0.70413249446264414</v>
      </c>
      <c r="AA161" s="188">
        <f>DEGREES(ATAN2(Z161,Y161))</f>
        <v>153.71848565120516</v>
      </c>
      <c r="AB161" s="126">
        <f>IF(AA161&lt;0,AA161+360,AA161)</f>
        <v>153.71848565120516</v>
      </c>
      <c r="AC161" s="126">
        <f>DEGREES(ASIN((SIN(RADIANS('Data Entry-V'!$F$8))*SIN(RADIANS(C161)))+(COS(RADIANS('Data Entry-V'!$F$8))*COS(RADIANS(C161))*COS(RADIANS((U161-B161)*15)))))</f>
        <v>-39.355448029311439</v>
      </c>
      <c r="AD161" s="188">
        <f>1/(COS((4*ATAN(1))/2-(AC161*(4*ATAN(1))/180)))</f>
        <v>-1.5769650561937663</v>
      </c>
      <c r="AE161" s="188" t="str">
        <f>IF(AC161&gt;10,AD161-((AD161-1)*(0.0018161+(AD161-1)*(0.002875+(AD161-1)*0.0008083))),"")</f>
        <v/>
      </c>
      <c r="AF161" s="87"/>
      <c r="AG161" s="87"/>
      <c r="AH161" s="87"/>
      <c r="AI161" s="87"/>
    </row>
    <row r="162" spans="1:35">
      <c r="A162" s="42" t="s">
        <v>229</v>
      </c>
      <c r="B162" s="187">
        <v>16.305</v>
      </c>
      <c r="C162" s="187">
        <v>-28.614000000000001</v>
      </c>
      <c r="D162" s="172">
        <v>4.7699999999999996</v>
      </c>
      <c r="E162" s="172">
        <v>0.02</v>
      </c>
      <c r="F162" s="172">
        <v>-0.01</v>
      </c>
      <c r="G162" s="188">
        <f>IF($AH$3&gt;0.5,($AH$2+2415019)+((((HOUR($AH$3)*60)+MINUTE($AH$3))/1440+DAY($AH$2))-0.5)-DAY($AH$2),($AH$2+2415019)+((((HOUR($AH$3)*60)+MINUTE($AH$3))/1440+DAY($AH$2))-1.5)-DAY($AH$2)+1)</f>
        <v>2461051.9375</v>
      </c>
      <c r="H162" s="188">
        <f>IF((G162-ROUNDDOWN(G162,0))&lt;0.5,ROUNDDOWN(G162,0)-0.5,ROUNDDOWN(G162,0)+0.5)</f>
        <v>2461051.5</v>
      </c>
      <c r="I162" s="188">
        <f>$AH$3*24</f>
        <v>10.5</v>
      </c>
      <c r="J162" s="188">
        <f>G162-2451545</f>
        <v>9506.9375</v>
      </c>
      <c r="K162" s="188">
        <f>G162-2451545</f>
        <v>9506.9375</v>
      </c>
      <c r="L162" s="188">
        <f>AVERAGE(H162-2451545)/36525</f>
        <v>0.26027378507871324</v>
      </c>
      <c r="M162" s="188">
        <f>6.697374558+(0.065707485828*K162)+(1.0027379093*I162)+(0.0854103*L162)+(0.000025862*L162*L162)</f>
        <v>641.92531546860243</v>
      </c>
      <c r="N162" s="188">
        <f>M162-24*(ROUNDDOWN(M162/24,0))</f>
        <v>17.925315468602435</v>
      </c>
      <c r="O162" s="188">
        <f>125.04-0.052954*J162</f>
        <v>-378.39036837499998</v>
      </c>
      <c r="P162" s="188">
        <f>280.47+0.98565*J162</f>
        <v>9650.9829468749995</v>
      </c>
      <c r="Q162" s="188">
        <f>23.4393-0.0000004*J162</f>
        <v>23.435497224999999</v>
      </c>
      <c r="R162" s="188">
        <f>-0.000319*SIN(RADIANS(O162))-0.000024*SIN((RADIANS(2*P162)))</f>
        <v>1.1668967270040724E-4</v>
      </c>
      <c r="S162" s="188">
        <f>N162+R162*COS(RADIANS(Q162))</f>
        <v>17.925422532357235</v>
      </c>
      <c r="T162" s="188">
        <f>S162-'Data Entry-V'!$F$9/15</f>
        <v>29.556533643468349</v>
      </c>
      <c r="U162" s="188">
        <f>IF(T162&lt;0,T162+24,IF(T162&gt;24,T162-24,T162))</f>
        <v>5.5565336434683488</v>
      </c>
      <c r="V162" s="188">
        <f>U162-B162</f>
        <v>-10.748466356531651</v>
      </c>
      <c r="W162" s="188">
        <f>V162*15</f>
        <v>-161.22699534797476</v>
      </c>
      <c r="X162" s="188">
        <f>IF(W162&lt;0,W162+360,W162)</f>
        <v>198.77300465202524</v>
      </c>
      <c r="Y162" s="188">
        <f>-SIN(RADIANS(X162))</f>
        <v>0.32181963838447636</v>
      </c>
      <c r="Z162" s="188">
        <f>TAN(RADIANS(C162))*COS(RADIANS('Data Entry-V'!$F$8))-SIN(RADIANS('Data Entry-V'!$F$8))*COS(RADIANS(X162))</f>
        <v>-1.0042336807026377</v>
      </c>
      <c r="AA162" s="188">
        <f>DEGREES(ATAN2(Z162,Y162))</f>
        <v>162.23127295359228</v>
      </c>
      <c r="AB162" s="126">
        <f>IF(AA162&lt;0,AA162+360,AA162)</f>
        <v>162.23127295359228</v>
      </c>
      <c r="AC162" s="126">
        <f>DEGREES(ASIN((SIN(RADIANS('Data Entry-V'!$F$8))*SIN(RADIANS(C162)))+(COS(RADIANS('Data Entry-V'!$F$8))*COS(RADIANS(C162))*COS(RADIANS((U162-B162)*15)))))</f>
        <v>-22.219158455851673</v>
      </c>
      <c r="AD162" s="188">
        <f>1/(COS((4*ATAN(1))/2-(AC162*(4*ATAN(1))/180)))</f>
        <v>-2.6444507657606224</v>
      </c>
      <c r="AE162" s="188" t="str">
        <f>IF(AC162&gt;10,AD162-((AD162-1)*(0.0018161+(AD162-1)*(0.002875+(AD162-1)*0.0008083))),"")</f>
        <v/>
      </c>
      <c r="AF162" s="87"/>
      <c r="AG162" s="87"/>
      <c r="AH162" s="87"/>
      <c r="AI162" s="87"/>
    </row>
    <row r="163" spans="1:35">
      <c r="A163" s="42" t="s">
        <v>230</v>
      </c>
      <c r="B163" s="187">
        <v>17.347100000000001</v>
      </c>
      <c r="C163" s="187">
        <v>-12.8469</v>
      </c>
      <c r="D163" s="172">
        <v>4.3099999999999996</v>
      </c>
      <c r="E163" s="172">
        <v>0.03</v>
      </c>
      <c r="F163" s="172">
        <v>0.03</v>
      </c>
      <c r="G163" s="188">
        <f>IF($AH$3&gt;0.5,($AH$2+2415019)+((((HOUR($AH$3)*60)+MINUTE($AH$3))/1440+DAY($AH$2))-0.5)-DAY($AH$2),($AH$2+2415019)+((((HOUR($AH$3)*60)+MINUTE($AH$3))/1440+DAY($AH$2))-1.5)-DAY($AH$2)+1)</f>
        <v>2461051.9375</v>
      </c>
      <c r="H163" s="188">
        <f>IF((G163-ROUNDDOWN(G163,0))&lt;0.5,ROUNDDOWN(G163,0)-0.5,ROUNDDOWN(G163,0)+0.5)</f>
        <v>2461051.5</v>
      </c>
      <c r="I163" s="188">
        <f>$AH$3*24</f>
        <v>10.5</v>
      </c>
      <c r="J163" s="188">
        <f>G163-2451545</f>
        <v>9506.9375</v>
      </c>
      <c r="K163" s="188">
        <f>G163-2451545</f>
        <v>9506.9375</v>
      </c>
      <c r="L163" s="188">
        <f>AVERAGE(H163-2451545)/36525</f>
        <v>0.26027378507871324</v>
      </c>
      <c r="M163" s="188">
        <f>6.697374558+(0.065707485828*K163)+(1.0027379093*I163)+(0.0854103*L163)+(0.000025862*L163*L163)</f>
        <v>641.92531546860243</v>
      </c>
      <c r="N163" s="188">
        <f>M163-24*(ROUNDDOWN(M163/24,0))</f>
        <v>17.925315468602435</v>
      </c>
      <c r="O163" s="188">
        <f>125.04-0.052954*J163</f>
        <v>-378.39036837499998</v>
      </c>
      <c r="P163" s="188">
        <f>280.47+0.98565*J163</f>
        <v>9650.9829468749995</v>
      </c>
      <c r="Q163" s="188">
        <f>23.4393-0.0000004*J163</f>
        <v>23.435497224999999</v>
      </c>
      <c r="R163" s="188">
        <f>-0.000319*SIN(RADIANS(O163))-0.000024*SIN((RADIANS(2*P163)))</f>
        <v>1.1668967270040724E-4</v>
      </c>
      <c r="S163" s="188">
        <f>N163+R163*COS(RADIANS(Q163))</f>
        <v>17.925422532357235</v>
      </c>
      <c r="T163" s="188">
        <f>S163-'Data Entry-V'!$F$9/15</f>
        <v>29.556533643468349</v>
      </c>
      <c r="U163" s="188">
        <f>IF(T163&lt;0,T163+24,IF(T163&gt;24,T163-24,T163))</f>
        <v>5.5565336434683488</v>
      </c>
      <c r="V163" s="188">
        <f>U163-B163</f>
        <v>-11.790566356531652</v>
      </c>
      <c r="W163" s="188">
        <f>V163*15</f>
        <v>-176.85849534797478</v>
      </c>
      <c r="X163" s="188">
        <f>IF(W163&lt;0,W163+360,W163)</f>
        <v>183.14150465202522</v>
      </c>
      <c r="Y163" s="188">
        <f>-SIN(RADIANS(X163))</f>
        <v>5.4802131539929057E-2</v>
      </c>
      <c r="Z163" s="188">
        <f>TAN(RADIANS(C163))*COS(RADIANS('Data Entry-V'!$F$8))-SIN(RADIANS('Data Entry-V'!$F$8))*COS(RADIANS(X163))</f>
        <v>-0.7811200548385655</v>
      </c>
      <c r="AA163" s="188">
        <f>DEGREES(ATAN2(Z163,Y163))</f>
        <v>175.98679588660346</v>
      </c>
      <c r="AB163" s="126">
        <f>IF(AA163&lt;0,AA163+360,AA163)</f>
        <v>175.98679588660346</v>
      </c>
      <c r="AC163" s="126">
        <f>DEGREES(ASIN((SIN(RADIANS('Data Entry-V'!$F$8))*SIN(RADIANS(C163)))+(COS(RADIANS('Data Entry-V'!$F$8))*COS(RADIANS(C163))*COS(RADIANS((U163-B163)*15)))))</f>
        <v>-40.231700250979458</v>
      </c>
      <c r="AD163" s="188">
        <f>1/(COS((4*ATAN(1))/2-(AC163*(4*ATAN(1))/180)))</f>
        <v>-1.5482747966111265</v>
      </c>
      <c r="AE163" s="188" t="str">
        <f>IF(AC163&gt;10,AD163-((AD163-1)*(0.0018161+(AD163-1)*(0.002875+(AD163-1)*0.0008083))),"")</f>
        <v/>
      </c>
      <c r="AF163" s="87"/>
      <c r="AG163" s="87"/>
      <c r="AH163" s="87"/>
      <c r="AI163" s="87"/>
    </row>
    <row r="164" spans="1:35">
      <c r="A164" s="42" t="s">
        <v>231</v>
      </c>
      <c r="B164" s="187">
        <v>17.523599999999998</v>
      </c>
      <c r="C164" s="187">
        <v>-23.962599999999998</v>
      </c>
      <c r="D164" s="172">
        <v>4.8099999999999996</v>
      </c>
      <c r="E164" s="172">
        <v>0</v>
      </c>
      <c r="F164" s="172">
        <v>-7.0000000000000007E-2</v>
      </c>
      <c r="G164" s="188">
        <f>IF($AH$3&gt;0.5,($AH$2+2415019)+((((HOUR($AH$3)*60)+MINUTE($AH$3))/1440+DAY($AH$2))-0.5)-DAY($AH$2),($AH$2+2415019)+((((HOUR($AH$3)*60)+MINUTE($AH$3))/1440+DAY($AH$2))-1.5)-DAY($AH$2)+1)</f>
        <v>2461051.9375</v>
      </c>
      <c r="H164" s="188">
        <f>IF((G164-ROUNDDOWN(G164,0))&lt;0.5,ROUNDDOWN(G164,0)-0.5,ROUNDDOWN(G164,0)+0.5)</f>
        <v>2461051.5</v>
      </c>
      <c r="I164" s="188">
        <f>$AH$3*24</f>
        <v>10.5</v>
      </c>
      <c r="J164" s="188">
        <f>G164-2451545</f>
        <v>9506.9375</v>
      </c>
      <c r="K164" s="188">
        <f>G164-2451545</f>
        <v>9506.9375</v>
      </c>
      <c r="L164" s="188">
        <f>AVERAGE(H164-2451545)/36525</f>
        <v>0.26027378507871324</v>
      </c>
      <c r="M164" s="188">
        <f>6.697374558+(0.065707485828*K164)+(1.0027379093*I164)+(0.0854103*L164)+(0.000025862*L164*L164)</f>
        <v>641.92531546860243</v>
      </c>
      <c r="N164" s="188">
        <f>M164-24*(ROUNDDOWN(M164/24,0))</f>
        <v>17.925315468602435</v>
      </c>
      <c r="O164" s="188">
        <f>125.04-0.052954*J164</f>
        <v>-378.39036837499998</v>
      </c>
      <c r="P164" s="188">
        <f>280.47+0.98565*J164</f>
        <v>9650.9829468749995</v>
      </c>
      <c r="Q164" s="188">
        <f>23.4393-0.0000004*J164</f>
        <v>23.435497224999999</v>
      </c>
      <c r="R164" s="188">
        <f>-0.000319*SIN(RADIANS(O164))-0.000024*SIN((RADIANS(2*P164)))</f>
        <v>1.1668967270040724E-4</v>
      </c>
      <c r="S164" s="188">
        <f>N164+R164*COS(RADIANS(Q164))</f>
        <v>17.925422532357235</v>
      </c>
      <c r="T164" s="188">
        <f>S164-'Data Entry-V'!$F$9/15</f>
        <v>29.556533643468349</v>
      </c>
      <c r="U164" s="188">
        <f>IF(T164&lt;0,T164+24,IF(T164&gt;24,T164-24,T164))</f>
        <v>5.5565336434683488</v>
      </c>
      <c r="V164" s="188">
        <f>U164-B164</f>
        <v>-11.96706635653165</v>
      </c>
      <c r="W164" s="188">
        <f>V164*15</f>
        <v>-179.50599534797473</v>
      </c>
      <c r="X164" s="188">
        <f>IF(W164&lt;0,W164+360,W164)</f>
        <v>180.49400465202527</v>
      </c>
      <c r="Y164" s="188">
        <f>-SIN(RADIANS(X164))</f>
        <v>8.6219008731441941E-3</v>
      </c>
      <c r="Z164" s="188">
        <f>TAN(RADIANS(C164))*COS(RADIANS('Data Entry-V'!$F$8))-SIN(RADIANS('Data Entry-V'!$F$8))*COS(RADIANS(X164))</f>
        <v>-0.9551945796488519</v>
      </c>
      <c r="AA164" s="188">
        <f>DEGREES(ATAN2(Z164,Y164))</f>
        <v>179.48284346825517</v>
      </c>
      <c r="AB164" s="126">
        <f>IF(AA164&lt;0,AA164+360,AA164)</f>
        <v>179.48284346825517</v>
      </c>
      <c r="AC164" s="126">
        <f>DEGREES(ASIN((SIN(RADIANS('Data Entry-V'!$F$8))*SIN(RADIANS(C164)))+(COS(RADIANS('Data Entry-V'!$F$8))*COS(RADIANS(C164))*COS(RADIANS((U164-B164)*15)))))</f>
        <v>-29.202282239971503</v>
      </c>
      <c r="AD164" s="188">
        <f>1/(COS((4*ATAN(1))/2-(AC164*(4*ATAN(1))/180)))</f>
        <v>-2.0496237290634975</v>
      </c>
      <c r="AE164" s="188" t="str">
        <f>IF(AC164&gt;10,AD164-((AD164-1)*(0.0018161+(AD164-1)*(0.002875+(AD164-1)*0.0008083))),"")</f>
        <v/>
      </c>
      <c r="AF164" s="87"/>
      <c r="AG164" s="87"/>
      <c r="AH164" s="87"/>
      <c r="AI164" s="87"/>
    </row>
    <row r="165" spans="1:35">
      <c r="A165" s="42" t="s">
        <v>232</v>
      </c>
      <c r="B165" s="187">
        <v>17.690200000000001</v>
      </c>
      <c r="C165" s="187">
        <v>-12.875299999999999</v>
      </c>
      <c r="D165" s="172">
        <v>4.24</v>
      </c>
      <c r="E165" s="172">
        <v>0.08</v>
      </c>
      <c r="F165" s="172">
        <v>0.1</v>
      </c>
      <c r="G165" s="188">
        <f>IF($AH$3&gt;0.5,($AH$2+2415019)+((((HOUR($AH$3)*60)+MINUTE($AH$3))/1440+DAY($AH$2))-0.5)-DAY($AH$2),($AH$2+2415019)+((((HOUR($AH$3)*60)+MINUTE($AH$3))/1440+DAY($AH$2))-1.5)-DAY($AH$2)+1)</f>
        <v>2461051.9375</v>
      </c>
      <c r="H165" s="188">
        <f>IF((G165-ROUNDDOWN(G165,0))&lt;0.5,ROUNDDOWN(G165,0)-0.5,ROUNDDOWN(G165,0)+0.5)</f>
        <v>2461051.5</v>
      </c>
      <c r="I165" s="188">
        <f>$AH$3*24</f>
        <v>10.5</v>
      </c>
      <c r="J165" s="188">
        <f>G165-2451545</f>
        <v>9506.9375</v>
      </c>
      <c r="K165" s="188">
        <f>G165-2451545</f>
        <v>9506.9375</v>
      </c>
      <c r="L165" s="188">
        <f>AVERAGE(H165-2451545)/36525</f>
        <v>0.26027378507871324</v>
      </c>
      <c r="M165" s="188">
        <f>6.697374558+(0.065707485828*K165)+(1.0027379093*I165)+(0.0854103*L165)+(0.000025862*L165*L165)</f>
        <v>641.92531546860243</v>
      </c>
      <c r="N165" s="188">
        <f>M165-24*(ROUNDDOWN(M165/24,0))</f>
        <v>17.925315468602435</v>
      </c>
      <c r="O165" s="188">
        <f>125.04-0.052954*J165</f>
        <v>-378.39036837499998</v>
      </c>
      <c r="P165" s="188">
        <f>280.47+0.98565*J165</f>
        <v>9650.9829468749995</v>
      </c>
      <c r="Q165" s="188">
        <f>23.4393-0.0000004*J165</f>
        <v>23.435497224999999</v>
      </c>
      <c r="R165" s="188">
        <f>-0.000319*SIN(RADIANS(O165))-0.000024*SIN((RADIANS(2*P165)))</f>
        <v>1.1668967270040724E-4</v>
      </c>
      <c r="S165" s="188">
        <f>N165+R165*COS(RADIANS(Q165))</f>
        <v>17.925422532357235</v>
      </c>
      <c r="T165" s="188">
        <f>S165-'Data Entry-V'!$F$9/15</f>
        <v>29.556533643468349</v>
      </c>
      <c r="U165" s="188">
        <f>IF(T165&lt;0,T165+24,IF(T165&gt;24,T165-24,T165))</f>
        <v>5.5565336434683488</v>
      </c>
      <c r="V165" s="188">
        <f>U165-B165</f>
        <v>-12.133666356531652</v>
      </c>
      <c r="W165" s="188">
        <f>V165*15</f>
        <v>-182.00499534797478</v>
      </c>
      <c r="X165" s="188">
        <f>IF(W165&lt;0,W165+360,W165)</f>
        <v>177.99500465202522</v>
      </c>
      <c r="Y165" s="188">
        <f>-SIN(RADIANS(X165))</f>
        <v>-3.4986628728282634E-2</v>
      </c>
      <c r="Z165" s="188">
        <f>TAN(RADIANS(C165))*COS(RADIANS('Data Entry-V'!$F$8))-SIN(RADIANS('Data Entry-V'!$F$8))*COS(RADIANS(X165))</f>
        <v>-0.7820713372486654</v>
      </c>
      <c r="AA165" s="188">
        <f>DEGREES(ATAN2(Z165,Y165))</f>
        <v>-177.4385322458204</v>
      </c>
      <c r="AB165" s="126">
        <f>IF(AA165&lt;0,AA165+360,AA165)</f>
        <v>182.5614677541796</v>
      </c>
      <c r="AC165" s="126">
        <f>DEGREES(ASIN((SIN(RADIANS('Data Entry-V'!$F$8))*SIN(RADIANS(C165)))+(COS(RADIANS('Data Entry-V'!$F$8))*COS(RADIANS(C165))*COS(RADIANS((U165-B165)*15)))))</f>
        <v>-40.255494124568401</v>
      </c>
      <c r="AD165" s="188">
        <f>1/(COS((4*ATAN(1))/2-(AC165*(4*ATAN(1))/180)))</f>
        <v>-1.5475153042143799</v>
      </c>
      <c r="AE165" s="188" t="str">
        <f>IF(AC165&gt;10,AD165-((AD165-1)*(0.0018161+(AD165-1)*(0.002875+(AD165-1)*0.0008083))),"")</f>
        <v/>
      </c>
      <c r="AF165" s="87"/>
      <c r="AG165" s="87"/>
      <c r="AH165" s="87"/>
      <c r="AI165" s="87"/>
    </row>
    <row r="166" spans="1:35">
      <c r="A166" s="42" t="s">
        <v>233</v>
      </c>
      <c r="B166" s="187">
        <v>18.486599999999999</v>
      </c>
      <c r="C166" s="187">
        <v>-14.565799999999999</v>
      </c>
      <c r="D166" s="172">
        <v>4.71</v>
      </c>
      <c r="E166" s="172">
        <v>7.0000000000000007E-2</v>
      </c>
      <c r="F166" s="172">
        <v>0.04</v>
      </c>
      <c r="G166" s="188">
        <f>IF($AH$3&gt;0.5,($AH$2+2415019)+((((HOUR($AH$3)*60)+MINUTE($AH$3))/1440+DAY($AH$2))-0.5)-DAY($AH$2),($AH$2+2415019)+((((HOUR($AH$3)*60)+MINUTE($AH$3))/1440+DAY($AH$2))-1.5)-DAY($AH$2)+1)</f>
        <v>2461051.9375</v>
      </c>
      <c r="H166" s="188">
        <f>IF((G166-ROUNDDOWN(G166,0))&lt;0.5,ROUNDDOWN(G166,0)-0.5,ROUNDDOWN(G166,0)+0.5)</f>
        <v>2461051.5</v>
      </c>
      <c r="I166" s="188">
        <f>$AH$3*24</f>
        <v>10.5</v>
      </c>
      <c r="J166" s="188">
        <f>G166-2451545</f>
        <v>9506.9375</v>
      </c>
      <c r="K166" s="188">
        <f>G166-2451545</f>
        <v>9506.9375</v>
      </c>
      <c r="L166" s="188">
        <f>AVERAGE(H166-2451545)/36525</f>
        <v>0.26027378507871324</v>
      </c>
      <c r="M166" s="188">
        <f>6.697374558+(0.065707485828*K166)+(1.0027379093*I166)+(0.0854103*L166)+(0.000025862*L166*L166)</f>
        <v>641.92531546860243</v>
      </c>
      <c r="N166" s="188">
        <f>M166-24*(ROUNDDOWN(M166/24,0))</f>
        <v>17.925315468602435</v>
      </c>
      <c r="O166" s="188">
        <f>125.04-0.052954*J166</f>
        <v>-378.39036837499998</v>
      </c>
      <c r="P166" s="188">
        <f>280.47+0.98565*J166</f>
        <v>9650.9829468749995</v>
      </c>
      <c r="Q166" s="188">
        <f>23.4393-0.0000004*J166</f>
        <v>23.435497224999999</v>
      </c>
      <c r="R166" s="188">
        <f>-0.000319*SIN(RADIANS(O166))-0.000024*SIN((RADIANS(2*P166)))</f>
        <v>1.1668967270040724E-4</v>
      </c>
      <c r="S166" s="188">
        <f>N166+R166*COS(RADIANS(Q166))</f>
        <v>17.925422532357235</v>
      </c>
      <c r="T166" s="188">
        <f>S166-'Data Entry-V'!$F$9/15</f>
        <v>29.556533643468349</v>
      </c>
      <c r="U166" s="188">
        <f>IF(T166&lt;0,T166+24,IF(T166&gt;24,T166-24,T166))</f>
        <v>5.5565336434683488</v>
      </c>
      <c r="V166" s="188">
        <f>U166-B166</f>
        <v>-12.93006635653165</v>
      </c>
      <c r="W166" s="188">
        <f>V166*15</f>
        <v>-193.95099534797475</v>
      </c>
      <c r="X166" s="188">
        <f>IF(W166&lt;0,W166+360,W166)</f>
        <v>166.04900465202525</v>
      </c>
      <c r="Y166" s="188">
        <f>-SIN(RADIANS(X166))</f>
        <v>-0.24109192053155001</v>
      </c>
      <c r="Z166" s="188">
        <f>TAN(RADIANS(C166))*COS(RADIANS('Data Entry-V'!$F$8))-SIN(RADIANS('Data Entry-V'!$F$8))*COS(RADIANS(X166))</f>
        <v>-0.78977977857962722</v>
      </c>
      <c r="AA166" s="188">
        <f>DEGREES(ATAN2(Z166,Y166))</f>
        <v>-163.0244174939796</v>
      </c>
      <c r="AB166" s="126">
        <f>IF(AA166&lt;0,AA166+360,AA166)</f>
        <v>196.9755825060204</v>
      </c>
      <c r="AC166" s="126">
        <f>DEGREES(ASIN((SIN(RADIANS('Data Entry-V'!$F$8))*SIN(RADIANS(C166)))+(COS(RADIANS('Data Entry-V'!$F$8))*COS(RADIANS(C166))*COS(RADIANS((U166-B166)*15)))))</f>
        <v>-36.944474252808739</v>
      </c>
      <c r="AD166" s="188">
        <f>1/(COS((4*ATAN(1))/2-(AC166*(4*ATAN(1))/180)))</f>
        <v>-1.6637806247650608</v>
      </c>
      <c r="AE166" s="188" t="str">
        <f>IF(AC166&gt;10,AD166-((AD166-1)*(0.0018161+(AD166-1)*(0.002875+(AD166-1)*0.0008083))),"")</f>
        <v/>
      </c>
      <c r="AF166" s="87"/>
      <c r="AG166" s="87"/>
      <c r="AH166" s="87"/>
      <c r="AI166" s="87"/>
    </row>
    <row r="167" spans="1:35">
      <c r="A167" s="42" t="s">
        <v>234</v>
      </c>
      <c r="B167" s="187">
        <v>18.5563</v>
      </c>
      <c r="C167" s="187">
        <v>-5.9116999999999997</v>
      </c>
      <c r="D167" s="172">
        <v>6.36</v>
      </c>
      <c r="E167" s="172">
        <v>0.02</v>
      </c>
      <c r="F167" s="172">
        <v>-0.05</v>
      </c>
      <c r="G167" s="188">
        <f>IF($AH$3&gt;0.5,($AH$2+2415019)+((((HOUR($AH$3)*60)+MINUTE($AH$3))/1440+DAY($AH$2))-0.5)-DAY($AH$2),($AH$2+2415019)+((((HOUR($AH$3)*60)+MINUTE($AH$3))/1440+DAY($AH$2))-1.5)-DAY($AH$2)+1)</f>
        <v>2461051.9375</v>
      </c>
      <c r="H167" s="188">
        <f>IF((G167-ROUNDDOWN(G167,0))&lt;0.5,ROUNDDOWN(G167,0)-0.5,ROUNDDOWN(G167,0)+0.5)</f>
        <v>2461051.5</v>
      </c>
      <c r="I167" s="188">
        <f>$AH$3*24</f>
        <v>10.5</v>
      </c>
      <c r="J167" s="188">
        <f>G167-2451545</f>
        <v>9506.9375</v>
      </c>
      <c r="K167" s="188">
        <f>G167-2451545</f>
        <v>9506.9375</v>
      </c>
      <c r="L167" s="188">
        <f>AVERAGE(H167-2451545)/36525</f>
        <v>0.26027378507871324</v>
      </c>
      <c r="M167" s="188">
        <f>6.697374558+(0.065707485828*K167)+(1.0027379093*I167)+(0.0854103*L167)+(0.000025862*L167*L167)</f>
        <v>641.92531546860243</v>
      </c>
      <c r="N167" s="188">
        <f>M167-24*(ROUNDDOWN(M167/24,0))</f>
        <v>17.925315468602435</v>
      </c>
      <c r="O167" s="188">
        <f>125.04-0.052954*J167</f>
        <v>-378.39036837499998</v>
      </c>
      <c r="P167" s="188">
        <f>280.47+0.98565*J167</f>
        <v>9650.9829468749995</v>
      </c>
      <c r="Q167" s="188">
        <f>23.4393-0.0000004*J167</f>
        <v>23.435497224999999</v>
      </c>
      <c r="R167" s="188">
        <f>-0.000319*SIN(RADIANS(O167))-0.000024*SIN((RADIANS(2*P167)))</f>
        <v>1.1668967270040724E-4</v>
      </c>
      <c r="S167" s="188">
        <f>N167+R167*COS(RADIANS(Q167))</f>
        <v>17.925422532357235</v>
      </c>
      <c r="T167" s="188">
        <f>S167-'Data Entry-V'!$F$9/15</f>
        <v>29.556533643468349</v>
      </c>
      <c r="U167" s="188">
        <f>IF(T167&lt;0,T167+24,IF(T167&gt;24,T167-24,T167))</f>
        <v>5.5565336434683488</v>
      </c>
      <c r="V167" s="188">
        <f>U167-B167</f>
        <v>-12.999766356531651</v>
      </c>
      <c r="W167" s="188">
        <f>V167*15</f>
        <v>-194.99649534797476</v>
      </c>
      <c r="X167" s="188">
        <f>IF(W167&lt;0,W167+360,W167)</f>
        <v>165.00350465202524</v>
      </c>
      <c r="Y167" s="188">
        <f>-SIN(RADIANS(X167))</f>
        <v>-0.25875996114080996</v>
      </c>
      <c r="Z167" s="188">
        <f>TAN(RADIANS(C167))*COS(RADIANS('Data Entry-V'!$F$8))-SIN(RADIANS('Data Entry-V'!$F$8))*COS(RADIANS(X167))</f>
        <v>-0.66194842923320707</v>
      </c>
      <c r="AA167" s="188">
        <f>DEGREES(ATAN2(Z167,Y167))</f>
        <v>-158.64914721006514</v>
      </c>
      <c r="AB167" s="126">
        <f>IF(AA167&lt;0,AA167+360,AA167)</f>
        <v>201.35085278993486</v>
      </c>
      <c r="AC167" s="126">
        <f>DEGREES(ASIN((SIN(RADIANS('Data Entry-V'!$F$8))*SIN(RADIANS(C167)))+(COS(RADIANS('Data Entry-V'!$F$8))*COS(RADIANS(C167))*COS(RADIANS((U167-B167)*15)))))</f>
        <v>-45.012952149117766</v>
      </c>
      <c r="AD167" s="188">
        <f>1/(COS((4*ATAN(1))/2-(AC167*(4*ATAN(1))/180)))</f>
        <v>-1.4138939769562824</v>
      </c>
      <c r="AE167" s="188" t="str">
        <f>IF(AC167&gt;10,AD167-((AD167-1)*(0.0018161+(AD167-1)*(0.002875+(AD167-1)*0.0008083))),"")</f>
        <v/>
      </c>
      <c r="AF167" s="87"/>
      <c r="AG167" s="87"/>
      <c r="AH167" s="87"/>
      <c r="AI167" s="87"/>
    </row>
    <row r="168" spans="1:35">
      <c r="A168" s="42" t="s">
        <v>235</v>
      </c>
      <c r="B168" s="187">
        <v>19.048500000000001</v>
      </c>
      <c r="C168" s="187">
        <v>-3.6989999999999998</v>
      </c>
      <c r="D168" s="172">
        <v>5.42</v>
      </c>
      <c r="E168" s="172">
        <v>0</v>
      </c>
      <c r="F168" s="172">
        <v>-7.0000000000000007E-2</v>
      </c>
      <c r="G168" s="188">
        <f>IF($AH$3&gt;0.5,($AH$2+2415019)+((((HOUR($AH$3)*60)+MINUTE($AH$3))/1440+DAY($AH$2))-0.5)-DAY($AH$2),($AH$2+2415019)+((((HOUR($AH$3)*60)+MINUTE($AH$3))/1440+DAY($AH$2))-1.5)-DAY($AH$2)+1)</f>
        <v>2461051.9375</v>
      </c>
      <c r="H168" s="188">
        <f>IF((G168-ROUNDDOWN(G168,0))&lt;0.5,ROUNDDOWN(G168,0)-0.5,ROUNDDOWN(G168,0)+0.5)</f>
        <v>2461051.5</v>
      </c>
      <c r="I168" s="188">
        <f>$AH$3*24</f>
        <v>10.5</v>
      </c>
      <c r="J168" s="188">
        <f>G168-2451545</f>
        <v>9506.9375</v>
      </c>
      <c r="K168" s="188">
        <f>G168-2451545</f>
        <v>9506.9375</v>
      </c>
      <c r="L168" s="188">
        <f>AVERAGE(H168-2451545)/36525</f>
        <v>0.26027378507871324</v>
      </c>
      <c r="M168" s="188">
        <f>6.697374558+(0.065707485828*K168)+(1.0027379093*I168)+(0.0854103*L168)+(0.000025862*L168*L168)</f>
        <v>641.92531546860243</v>
      </c>
      <c r="N168" s="188">
        <f>M168-24*(ROUNDDOWN(M168/24,0))</f>
        <v>17.925315468602435</v>
      </c>
      <c r="O168" s="188">
        <f>125.04-0.052954*J168</f>
        <v>-378.39036837499998</v>
      </c>
      <c r="P168" s="188">
        <f>280.47+0.98565*J168</f>
        <v>9650.9829468749995</v>
      </c>
      <c r="Q168" s="188">
        <f>23.4393-0.0000004*J168</f>
        <v>23.435497224999999</v>
      </c>
      <c r="R168" s="188">
        <f>-0.000319*SIN(RADIANS(O168))-0.000024*SIN((RADIANS(2*P168)))</f>
        <v>1.1668967270040724E-4</v>
      </c>
      <c r="S168" s="188">
        <f>N168+R168*COS(RADIANS(Q168))</f>
        <v>17.925422532357235</v>
      </c>
      <c r="T168" s="188">
        <f>S168-'Data Entry-V'!$F$9/15</f>
        <v>29.556533643468349</v>
      </c>
      <c r="U168" s="188">
        <f>IF(T168&lt;0,T168+24,IF(T168&gt;24,T168-24,T168))</f>
        <v>5.5565336434683488</v>
      </c>
      <c r="V168" s="188">
        <f>U168-B168</f>
        <v>-13.491966356531652</v>
      </c>
      <c r="W168" s="188">
        <f>V168*15</f>
        <v>-202.37949534797477</v>
      </c>
      <c r="X168" s="188">
        <f>IF(W168&lt;0,W168+360,W168)</f>
        <v>157.62050465202523</v>
      </c>
      <c r="Y168" s="188">
        <f>-SIN(RADIANS(X168))</f>
        <v>-0.38073948125436013</v>
      </c>
      <c r="Z168" s="188">
        <f>TAN(RADIANS(C168))*COS(RADIANS('Data Entry-V'!$F$8))-SIN(RADIANS('Data Entry-V'!$F$8))*COS(RADIANS(X168))</f>
        <v>-0.60608161700945584</v>
      </c>
      <c r="AA168" s="188">
        <f>DEGREES(ATAN2(Z168,Y168))</f>
        <v>-147.86302884457703</v>
      </c>
      <c r="AB168" s="126">
        <f>IF(AA168&lt;0,AA168+360,AA168)</f>
        <v>212.13697115542297</v>
      </c>
      <c r="AC168" s="126">
        <f>DEGREES(ASIN((SIN(RADIANS('Data Entry-V'!$F$8))*SIN(RADIANS(C168)))+(COS(RADIANS('Data Entry-V'!$F$8))*COS(RADIANS(C168))*COS(RADIANS((U168-B168)*15)))))</f>
        <v>-44.417536282978311</v>
      </c>
      <c r="AD168" s="188">
        <f>1/(COS((4*ATAN(1))/2-(AC168*(4*ATAN(1))/180)))</f>
        <v>-1.4288123192947075</v>
      </c>
      <c r="AE168" s="188" t="str">
        <f>IF(AC168&gt;10,AD168-((AD168-1)*(0.0018161+(AD168-1)*(0.002875+(AD168-1)*0.0008083))),"")</f>
        <v/>
      </c>
      <c r="AF168" s="87"/>
      <c r="AG168" s="87"/>
      <c r="AH168" s="87"/>
      <c r="AI168" s="87"/>
    </row>
    <row r="169" spans="1:35">
      <c r="A169" s="42" t="s">
        <v>236</v>
      </c>
      <c r="B169" s="187">
        <v>19.157900000000001</v>
      </c>
      <c r="C169" s="187">
        <v>-37.904499999999999</v>
      </c>
      <c r="D169" s="172">
        <v>4.12</v>
      </c>
      <c r="E169" s="172">
        <v>0.04</v>
      </c>
      <c r="F169" s="172">
        <v>7.0000000000000007E-2</v>
      </c>
      <c r="G169" s="188">
        <f>IF($AH$3&gt;0.5,($AH$2+2415019)+((((HOUR($AH$3)*60)+MINUTE($AH$3))/1440+DAY($AH$2))-0.5)-DAY($AH$2),($AH$2+2415019)+((((HOUR($AH$3)*60)+MINUTE($AH$3))/1440+DAY($AH$2))-1.5)-DAY($AH$2)+1)</f>
        <v>2461051.9375</v>
      </c>
      <c r="H169" s="188">
        <f>IF((G169-ROUNDDOWN(G169,0))&lt;0.5,ROUNDDOWN(G169,0)-0.5,ROUNDDOWN(G169,0)+0.5)</f>
        <v>2461051.5</v>
      </c>
      <c r="I169" s="188">
        <f>$AH$3*24</f>
        <v>10.5</v>
      </c>
      <c r="J169" s="188">
        <f>G169-2451545</f>
        <v>9506.9375</v>
      </c>
      <c r="K169" s="188">
        <f>G169-2451545</f>
        <v>9506.9375</v>
      </c>
      <c r="L169" s="188">
        <f>AVERAGE(H169-2451545)/36525</f>
        <v>0.26027378507871324</v>
      </c>
      <c r="M169" s="188">
        <f>6.697374558+(0.065707485828*K169)+(1.0027379093*I169)+(0.0854103*L169)+(0.000025862*L169*L169)</f>
        <v>641.92531546860243</v>
      </c>
      <c r="N169" s="188">
        <f>M169-24*(ROUNDDOWN(M169/24,0))</f>
        <v>17.925315468602435</v>
      </c>
      <c r="O169" s="188">
        <f>125.04-0.052954*J169</f>
        <v>-378.39036837499998</v>
      </c>
      <c r="P169" s="188">
        <f>280.47+0.98565*J169</f>
        <v>9650.9829468749995</v>
      </c>
      <c r="Q169" s="188">
        <f>23.4393-0.0000004*J169</f>
        <v>23.435497224999999</v>
      </c>
      <c r="R169" s="188">
        <f>-0.000319*SIN(RADIANS(O169))-0.000024*SIN((RADIANS(2*P169)))</f>
        <v>1.1668967270040724E-4</v>
      </c>
      <c r="S169" s="188">
        <f>N169+R169*COS(RADIANS(Q169))</f>
        <v>17.925422532357235</v>
      </c>
      <c r="T169" s="188">
        <f>S169-'Data Entry-V'!$F$9/15</f>
        <v>29.556533643468349</v>
      </c>
      <c r="U169" s="188">
        <f>IF(T169&lt;0,T169+24,IF(T169&gt;24,T169-24,T169))</f>
        <v>5.5565336434683488</v>
      </c>
      <c r="V169" s="188">
        <f>U169-B169</f>
        <v>-13.601366356531653</v>
      </c>
      <c r="W169" s="188">
        <f>V169*15</f>
        <v>-204.02049534797479</v>
      </c>
      <c r="X169" s="188">
        <f>IF(W169&lt;0,W169+360,W169)</f>
        <v>155.97950465202521</v>
      </c>
      <c r="Y169" s="188">
        <f>-SIN(RADIANS(X169))</f>
        <v>-0.40706340258281598</v>
      </c>
      <c r="Z169" s="188">
        <f>TAN(RADIANS(C169))*COS(RADIANS('Data Entry-V'!$F$8))-SIN(RADIANS('Data Entry-V'!$F$8))*COS(RADIANS(X169))</f>
        <v>-1.1707554351462424</v>
      </c>
      <c r="AA169" s="188">
        <f>DEGREES(ATAN2(Z169,Y169))</f>
        <v>-160.82779752932754</v>
      </c>
      <c r="AB169" s="126">
        <f>IF(AA169&lt;0,AA169+360,AA169)</f>
        <v>199.17220247067246</v>
      </c>
      <c r="AC169" s="126">
        <f>DEGREES(ASIN((SIN(RADIANS('Data Entry-V'!$F$8))*SIN(RADIANS(C169)))+(COS(RADIANS('Data Entry-V'!$F$8))*COS(RADIANS(C169))*COS(RADIANS((U169-B169)*15)))))</f>
        <v>-12.037126336825034</v>
      </c>
      <c r="AD169" s="188">
        <f>1/(COS((4*ATAN(1))/2-(AC169*(4*ATAN(1))/180)))</f>
        <v>-4.7951174787983115</v>
      </c>
      <c r="AE169" s="188" t="str">
        <f>IF(AC169&gt;10,AD169-((AD169-1)*(0.0018161+(AD169-1)*(0.002875+(AD169-1)*0.0008083))),"")</f>
        <v/>
      </c>
      <c r="AF169" s="87"/>
      <c r="AG169" s="87"/>
      <c r="AH169" s="87"/>
      <c r="AI169" s="87"/>
    </row>
    <row r="170" spans="1:35">
      <c r="A170" s="42" t="s">
        <v>237</v>
      </c>
      <c r="B170" s="187">
        <v>19.611799999999999</v>
      </c>
      <c r="C170" s="187">
        <v>-24.883600000000001</v>
      </c>
      <c r="D170" s="172">
        <v>4.59</v>
      </c>
      <c r="E170" s="172">
        <v>-0.06</v>
      </c>
      <c r="F170" s="172">
        <v>-0.12</v>
      </c>
      <c r="G170" s="188">
        <f>IF($AH$3&gt;0.5,($AH$2+2415019)+((((HOUR($AH$3)*60)+MINUTE($AH$3))/1440+DAY($AH$2))-0.5)-DAY($AH$2),($AH$2+2415019)+((((HOUR($AH$3)*60)+MINUTE($AH$3))/1440+DAY($AH$2))-1.5)-DAY($AH$2)+1)</f>
        <v>2461051.9375</v>
      </c>
      <c r="H170" s="188">
        <f>IF((G170-ROUNDDOWN(G170,0))&lt;0.5,ROUNDDOWN(G170,0)-0.5,ROUNDDOWN(G170,0)+0.5)</f>
        <v>2461051.5</v>
      </c>
      <c r="I170" s="188">
        <f>$AH$3*24</f>
        <v>10.5</v>
      </c>
      <c r="J170" s="188">
        <f>G170-2451545</f>
        <v>9506.9375</v>
      </c>
      <c r="K170" s="188">
        <f>G170-2451545</f>
        <v>9506.9375</v>
      </c>
      <c r="L170" s="188">
        <f>AVERAGE(H170-2451545)/36525</f>
        <v>0.26027378507871324</v>
      </c>
      <c r="M170" s="188">
        <f>6.697374558+(0.065707485828*K170)+(1.0027379093*I170)+(0.0854103*L170)+(0.000025862*L170*L170)</f>
        <v>641.92531546860243</v>
      </c>
      <c r="N170" s="188">
        <f>M170-24*(ROUNDDOWN(M170/24,0))</f>
        <v>17.925315468602435</v>
      </c>
      <c r="O170" s="188">
        <f>125.04-0.052954*J170</f>
        <v>-378.39036837499998</v>
      </c>
      <c r="P170" s="188">
        <f>280.47+0.98565*J170</f>
        <v>9650.9829468749995</v>
      </c>
      <c r="Q170" s="188">
        <f>23.4393-0.0000004*J170</f>
        <v>23.435497224999999</v>
      </c>
      <c r="R170" s="188">
        <f>-0.000319*SIN(RADIANS(O170))-0.000024*SIN((RADIANS(2*P170)))</f>
        <v>1.1668967270040724E-4</v>
      </c>
      <c r="S170" s="188">
        <f>N170+R170*COS(RADIANS(Q170))</f>
        <v>17.925422532357235</v>
      </c>
      <c r="T170" s="188">
        <f>S170-'Data Entry-V'!$F$9/15</f>
        <v>29.556533643468349</v>
      </c>
      <c r="U170" s="188">
        <f>IF(T170&lt;0,T170+24,IF(T170&gt;24,T170-24,T170))</f>
        <v>5.5565336434683488</v>
      </c>
      <c r="V170" s="188">
        <f>U170-B170</f>
        <v>-14.05526635653165</v>
      </c>
      <c r="W170" s="188">
        <f>V170*15</f>
        <v>-210.82899534797474</v>
      </c>
      <c r="X170" s="188">
        <f>IF(W170&lt;0,W170+360,W170)</f>
        <v>149.17100465202526</v>
      </c>
      <c r="Y170" s="188">
        <f>-SIN(RADIANS(X170))</f>
        <v>-0.51247748821496775</v>
      </c>
      <c r="Z170" s="188">
        <f>TAN(RADIANS(C170))*COS(RADIANS('Data Entry-V'!$F$8))-SIN(RADIANS('Data Entry-V'!$F$8))*COS(RADIANS(X170))</f>
        <v>-0.88602876988758816</v>
      </c>
      <c r="AA170" s="188">
        <f>DEGREES(ATAN2(Z170,Y170))</f>
        <v>-149.95498686188569</v>
      </c>
      <c r="AB170" s="126">
        <f>IF(AA170&lt;0,AA170+360,AA170)</f>
        <v>210.04501313811431</v>
      </c>
      <c r="AC170" s="126">
        <f>DEGREES(ASIN((SIN(RADIANS('Data Entry-V'!$F$8))*SIN(RADIANS(C170)))+(COS(RADIANS('Data Entry-V'!$F$8))*COS(RADIANS(C170))*COS(RADIANS((U170-B170)*15)))))</f>
        <v>-21.791711476561662</v>
      </c>
      <c r="AD170" s="188">
        <f>1/(COS((4*ATAN(1))/2-(AC170*(4*ATAN(1))/180)))</f>
        <v>-2.6937223055696848</v>
      </c>
      <c r="AE170" s="188" t="str">
        <f>IF(AC170&gt;10,AD170-((AD170-1)*(0.0018161+(AD170-1)*(0.002875+(AD170-1)*0.0008083))),"")</f>
        <v/>
      </c>
      <c r="AF170" s="87"/>
      <c r="AG170" s="87"/>
      <c r="AH170" s="87"/>
      <c r="AI170" s="87"/>
    </row>
    <row r="171" spans="1:35">
      <c r="A171" s="42" t="s">
        <v>238</v>
      </c>
      <c r="B171" s="187">
        <v>20.3444</v>
      </c>
      <c r="C171" s="187">
        <v>-12.7591</v>
      </c>
      <c r="D171" s="172">
        <v>4.76</v>
      </c>
      <c r="E171" s="172">
        <v>-0.04</v>
      </c>
      <c r="F171" s="172">
        <v>-0.11</v>
      </c>
      <c r="G171" s="188">
        <f>IF($AH$3&gt;0.5,($AH$2+2415019)+((((HOUR($AH$3)*60)+MINUTE($AH$3))/1440+DAY($AH$2))-0.5)-DAY($AH$2),($AH$2+2415019)+((((HOUR($AH$3)*60)+MINUTE($AH$3))/1440+DAY($AH$2))-1.5)-DAY($AH$2)+1)</f>
        <v>2461051.9375</v>
      </c>
      <c r="H171" s="188">
        <f>IF((G171-ROUNDDOWN(G171,0))&lt;0.5,ROUNDDOWN(G171,0)-0.5,ROUNDDOWN(G171,0)+0.5)</f>
        <v>2461051.5</v>
      </c>
      <c r="I171" s="188">
        <f>$AH$3*24</f>
        <v>10.5</v>
      </c>
      <c r="J171" s="188">
        <f>G171-2451545</f>
        <v>9506.9375</v>
      </c>
      <c r="K171" s="188">
        <f>G171-2451545</f>
        <v>9506.9375</v>
      </c>
      <c r="L171" s="188">
        <f>AVERAGE(H171-2451545)/36525</f>
        <v>0.26027378507871324</v>
      </c>
      <c r="M171" s="188">
        <f>6.697374558+(0.065707485828*K171)+(1.0027379093*I171)+(0.0854103*L171)+(0.000025862*L171*L171)</f>
        <v>641.92531546860243</v>
      </c>
      <c r="N171" s="188">
        <f>M171-24*(ROUNDDOWN(M171/24,0))</f>
        <v>17.925315468602435</v>
      </c>
      <c r="O171" s="188">
        <f>125.04-0.052954*J171</f>
        <v>-378.39036837499998</v>
      </c>
      <c r="P171" s="188">
        <f>280.47+0.98565*J171</f>
        <v>9650.9829468749995</v>
      </c>
      <c r="Q171" s="188">
        <f>23.4393-0.0000004*J171</f>
        <v>23.435497224999999</v>
      </c>
      <c r="R171" s="188">
        <f>-0.000319*SIN(RADIANS(O171))-0.000024*SIN((RADIANS(2*P171)))</f>
        <v>1.1668967270040724E-4</v>
      </c>
      <c r="S171" s="188">
        <f>N171+R171*COS(RADIANS(Q171))</f>
        <v>17.925422532357235</v>
      </c>
      <c r="T171" s="188">
        <f>S171-'Data Entry-V'!$F$9/15</f>
        <v>29.556533643468349</v>
      </c>
      <c r="U171" s="188">
        <f>IF(T171&lt;0,T171+24,IF(T171&gt;24,T171-24,T171))</f>
        <v>5.5565336434683488</v>
      </c>
      <c r="V171" s="188">
        <f>U171-B171</f>
        <v>-14.787866356531651</v>
      </c>
      <c r="W171" s="188">
        <f>V171*15</f>
        <v>-221.81799534797477</v>
      </c>
      <c r="X171" s="188">
        <f>IF(W171&lt;0,W171+360,W171)</f>
        <v>138.18200465202523</v>
      </c>
      <c r="Y171" s="188">
        <f>-SIN(RADIANS(X171))</f>
        <v>-0.66676657503539705</v>
      </c>
      <c r="Z171" s="188">
        <f>TAN(RADIANS(C171))*COS(RADIANS('Data Entry-V'!$F$8))-SIN(RADIANS('Data Entry-V'!$F$8))*COS(RADIANS(X171))</f>
        <v>-0.62802115434352945</v>
      </c>
      <c r="AA171" s="188">
        <f>DEGREES(ATAN2(Z171,Y171))</f>
        <v>-133.28598405339997</v>
      </c>
      <c r="AB171" s="126">
        <f>IF(AA171&lt;0,AA171+360,AA171)</f>
        <v>226.71401594660003</v>
      </c>
      <c r="AC171" s="126">
        <f>DEGREES(ASIN((SIN(RADIANS('Data Entry-V'!$F$8))*SIN(RADIANS(C171)))+(COS(RADIANS('Data Entry-V'!$F$8))*COS(RADIANS(C171))*COS(RADIANS((U171-B171)*15)))))</f>
        <v>-26.703317594430278</v>
      </c>
      <c r="AD171" s="188">
        <f>1/(COS((4*ATAN(1))/2-(AC171*(4*ATAN(1))/180)))</f>
        <v>-2.2253340962998984</v>
      </c>
      <c r="AE171" s="188" t="str">
        <f>IF(AC171&gt;10,AD171-((AD171-1)*(0.0018161+(AD171-1)*(0.002875+(AD171-1)*0.0008083))),"")</f>
        <v/>
      </c>
      <c r="AF171" s="87"/>
      <c r="AG171" s="87"/>
      <c r="AH171" s="87"/>
      <c r="AI171" s="87"/>
    </row>
    <row r="172" spans="1:35">
      <c r="A172" s="42"/>
      <c r="B172" s="187"/>
      <c r="C172" s="187"/>
      <c r="D172" s="172"/>
      <c r="E172" s="172"/>
      <c r="F172" s="172"/>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26"/>
      <c r="AC172" s="126"/>
      <c r="AD172" s="187"/>
      <c r="AE172" s="187"/>
      <c r="AF172" s="87"/>
      <c r="AG172" s="87"/>
      <c r="AH172" s="87"/>
      <c r="AI172" s="87"/>
    </row>
    <row r="173" spans="1:35" s="130" customFormat="1" ht="15">
      <c r="A173" s="46" t="s">
        <v>239</v>
      </c>
      <c r="B173" s="47"/>
      <c r="C173" s="47"/>
      <c r="D173" s="48"/>
      <c r="E173" s="48"/>
      <c r="F173" s="48"/>
      <c r="G173" s="47"/>
      <c r="H173" s="47"/>
      <c r="I173" s="47"/>
      <c r="J173" s="47"/>
      <c r="K173" s="47"/>
      <c r="L173" s="47"/>
      <c r="M173" s="47"/>
      <c r="N173" s="47"/>
      <c r="O173" s="47"/>
      <c r="P173" s="47"/>
      <c r="Q173" s="47"/>
      <c r="R173" s="47"/>
      <c r="S173" s="47"/>
      <c r="T173" s="47"/>
      <c r="U173" s="47"/>
      <c r="V173" s="47"/>
      <c r="W173" s="47"/>
      <c r="X173" s="47"/>
      <c r="Y173" s="47"/>
      <c r="Z173" s="47"/>
      <c r="AA173" s="47"/>
      <c r="AB173" s="127"/>
      <c r="AC173" s="127"/>
      <c r="AD173" s="47"/>
      <c r="AE173" s="47"/>
      <c r="AF173" s="88"/>
      <c r="AG173" s="88"/>
      <c r="AH173" s="88"/>
      <c r="AI173" s="88"/>
    </row>
    <row r="174" spans="1:35" ht="15">
      <c r="A174" s="124" t="s">
        <v>240</v>
      </c>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3"/>
      <c r="AB174" s="128"/>
      <c r="AC174" s="128"/>
      <c r="AD174" s="123"/>
      <c r="AE174" s="123"/>
      <c r="AF174" s="123"/>
      <c r="AG174" s="123"/>
      <c r="AH174" s="87"/>
      <c r="AI174" s="87"/>
    </row>
    <row r="175" spans="1:35" ht="15">
      <c r="A175" s="124" t="s">
        <v>241</v>
      </c>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3"/>
      <c r="AB175" s="128"/>
      <c r="AC175" s="128"/>
      <c r="AD175" s="123"/>
      <c r="AE175" s="123"/>
      <c r="AF175" s="123"/>
      <c r="AG175" s="123"/>
      <c r="AH175" s="87"/>
      <c r="AI175" s="87"/>
    </row>
    <row r="176" spans="1:35" ht="15">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3"/>
      <c r="AB176" s="128"/>
      <c r="AC176" s="128"/>
      <c r="AD176" s="123"/>
      <c r="AE176" s="123"/>
      <c r="AF176" s="123"/>
      <c r="AG176" s="123"/>
      <c r="AH176" s="87"/>
      <c r="AI176" s="87"/>
    </row>
  </sheetData>
  <sheetProtection sheet="1" selectLockedCells="1"/>
  <autoFilter ref="A1:AE171" xr:uid="{9C765EE3-CBE6-47F3-8346-5C958F48247C}">
    <sortState xmlns:xlrd2="http://schemas.microsoft.com/office/spreadsheetml/2017/richdata2" ref="A2:AE171">
      <sortCondition ref="AE1:AE171"/>
    </sortState>
  </autoFilter>
  <conditionalFormatting sqref="AE2:AE171">
    <cfRule type="cellIs" dxfId="3" priority="5" operator="lessThan">
      <formula>1</formula>
    </cfRule>
    <cfRule type="cellIs" dxfId="2" priority="6" operator="greaterThan">
      <formula>2.5</formula>
    </cfRule>
    <cfRule type="cellIs" dxfId="1" priority="7" operator="between">
      <formula>2</formula>
      <formula>2.5</formula>
    </cfRule>
    <cfRule type="cellIs" dxfId="0" priority="8" operator="between">
      <formula>1</formula>
      <formula>2</formula>
    </cfRule>
  </conditionalFormatting>
  <hyperlinks>
    <hyperlink ref="A175" r:id="rId1" xr:uid="{FB7F1612-A783-49A8-95CD-82D015B0088E}"/>
    <hyperlink ref="A174" r:id="rId2" xr:uid="{E4B18BA6-6D74-4F95-AFB3-4A3494F370B1}"/>
  </hyperlinks>
  <pageMargins left="0.7" right="0.7" top="0.75" bottom="0.75"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8B87-62CD-4990-8BF0-A5033CFFF417}">
  <dimension ref="A1:D6"/>
  <sheetViews>
    <sheetView zoomScale="150" zoomScaleNormal="150" zoomScalePageLayoutView="150" workbookViewId="0">
      <selection activeCell="A7" sqref="A7"/>
    </sheetView>
  </sheetViews>
  <sheetFormatPr defaultRowHeight="12.75"/>
  <cols>
    <col min="1" max="1" width="15.7109375" customWidth="1"/>
    <col min="2" max="256" width="11.42578125" customWidth="1"/>
  </cols>
  <sheetData>
    <row r="1" spans="1:4" ht="15">
      <c r="A1" s="29" t="s">
        <v>45</v>
      </c>
      <c r="B1" s="29" t="s">
        <v>58</v>
      </c>
      <c r="C1" s="29" t="s">
        <v>67</v>
      </c>
      <c r="D1" s="29" t="s">
        <v>68</v>
      </c>
    </row>
    <row r="2" spans="1:4">
      <c r="A2" s="28">
        <f>IF('Data Entry-V'!F16&gt;0.5,('Data Entry-V'!E16+2415019)+((((HOUR('Data Entry-V'!F16)*60)+MINUTE('Data Entry-V'!F16))/1440+SECOND('Data Entry-V'!F16)/86400+DAY('Data Entry-V'!E16))-0.5)-DAY('Data Entry-V'!E16),('Data Entry-V'!E16+2415019)+((((HOUR('Data Entry-V'!F16)*60)+MINUTE('Data Entry-V'!F16))/1440+SECOND('Data Entry-V'!F16)/86400+DAY('Data Entry-V'!E16))-1.5)-DAY('Data Entry-V'!E16)+1)</f>
        <v>2461051.9324884261</v>
      </c>
      <c r="B2" s="28">
        <f>6.6925-'Data Entry-V'!$G$9+(24*((1.0027379093*(A2-2447892.5))-FLOOR(1.0027379093*(A2-2447892.5),1)))-(ROUNDDOWN(((6.6925-'Data Entry-V'!$G$9+(24*((1.0027379093*(A2-2447892.5))-FLOOR(1.0027379093*(A2-2447892.5),1))))/24),0)*24)</f>
        <v>5.4073155643201787</v>
      </c>
      <c r="C2" s="28">
        <f>DEGREES(ASIN((SIN(RADIANS('Data Entry-V'!$F$8))*SIN(RADIANS('Data Entry-V'!C16)))+(COS(RADIANS('Data Entry-V'!$F$8))*COS(RADIANS('Data Entry-V'!C16))*COS(RADIANS((B2-'Data Entry-V'!B16)*15)))))</f>
        <v>69.412927980634294</v>
      </c>
      <c r="D2" s="28">
        <f>1/(COS(2*ATAN(1)-(C2*(ATAN(1)/45))))</f>
        <v>1.0682175476404359</v>
      </c>
    </row>
    <row r="3" spans="1:4">
      <c r="A3" s="28">
        <f>IF('Data Entry-V'!F18&gt;0.5,('Data Entry-V'!E18+2415019)+((((HOUR('Data Entry-V'!F18)*60)+MINUTE('Data Entry-V'!F18))/1440+SECOND('Data Entry-V'!F18)/86400+DAY('Data Entry-V'!E18))-0.5)-DAY('Data Entry-V'!E18),('Data Entry-V'!E18+2415019)+((((HOUR('Data Entry-V'!F18)*60)+MINUTE('Data Entry-V'!F18))/1440+SECOND('Data Entry-V'!F18)/86400+DAY('Data Entry-V'!E18))-1.5)-DAY('Data Entry-V'!E18)+1)</f>
        <v>2461051.9347685184</v>
      </c>
      <c r="B3" s="28">
        <f>6.6925-'Data Entry-V'!$G$9+(24*((1.0027379093*(A3-2447892.5))-FLOOR(1.0027379093*(A3-2447892.5),1)))-(ROUNDDOWN(((6.6925-'Data Entry-V'!$G$9+(24*((1.0027379093*(A3-2447892.5))-FLOOR(1.0027379093*(A3-2447892.5),1))))/24),0)*24)</f>
        <v>5.4621876047678413</v>
      </c>
      <c r="C3" s="28">
        <f>DEGREES(ASIN((SIN(RADIANS('Data Entry-V'!$F$8))*SIN(RADIANS('Data Entry-V'!C18)))+(COS(RADIANS('Data Entry-V'!$F$8))*COS(RADIANS('Data Entry-V'!C18))*COS(RADIANS((B3-'Data Entry-V'!B18)*15)))))</f>
        <v>51.925103781924577</v>
      </c>
      <c r="D3" s="28">
        <f>1/(COS(2*ATAN(1)-(C3*(ATAN(1)/45))))</f>
        <v>1.270316655775271</v>
      </c>
    </row>
    <row r="4" spans="1:4">
      <c r="A4" s="28">
        <f>IF('Data Entry-V'!F20&gt;0.5,('Data Entry-V'!E20+2415019)+((((HOUR('Data Entry-V'!F20)*60)+MINUTE('Data Entry-V'!F20))/1440+SECOND('Data Entry-V'!F20)/86400+DAY('Data Entry-V'!E20))-0.5)-DAY('Data Entry-V'!E20),('Data Entry-V'!E20+2415019)+((((HOUR('Data Entry-V'!F20)*60)+MINUTE('Data Entry-V'!F20))/1440+SECOND('Data Entry-V'!F20)/86400+DAY('Data Entry-V'!E20))-1.5)-DAY('Data Entry-V'!E20)+1)</f>
        <v>2461051.9369097222</v>
      </c>
      <c r="B4" s="28">
        <f>6.6925-'Data Entry-V'!$G$9+(24*((1.0027379093*(A4-2447892.5))-FLOOR(1.0027379093*(A4-2447892.5),1)))-(ROUNDDOWN(((6.6925-'Data Entry-V'!$G$9+(24*((1.0027379093*(A4-2447892.5))-FLOOR(1.0027379093*(A4-2447892.5),1))))/24),0)*24)</f>
        <v>5.5137171924217725</v>
      </c>
      <c r="C4" s="28">
        <f>DEGREES(ASIN((SIN(RADIANS('Data Entry-V'!$F$8))*SIN(RADIANS('Data Entry-V'!C20)))+(COS(RADIANS('Data Entry-V'!$F$8))*COS(RADIANS('Data Entry-V'!C20))*COS(RADIANS((B4-'Data Entry-V'!B20)*15)))))</f>
        <v>41.396742700228629</v>
      </c>
      <c r="D4" s="28">
        <f>1/(COS(2*ATAN(1)-(C4*(ATAN(1)/45))))</f>
        <v>1.5122433795129406</v>
      </c>
    </row>
    <row r="5" spans="1:4">
      <c r="A5" s="28">
        <f>IF('Data Entry-V'!F22&gt;0.5,('Data Entry-V'!E22+2415019)+((((HOUR('Data Entry-V'!F22)*60)+MINUTE('Data Entry-V'!F22))/1440+SECOND('Data Entry-V'!F22)/86400+DAY('Data Entry-V'!E22))-0.5)-DAY('Data Entry-V'!E22),('Data Entry-V'!E22+2415019)+((((HOUR('Data Entry-V'!F22)*60)+MINUTE('Data Entry-V'!F22))/1440+SECOND('Data Entry-V'!F22)/86400+DAY('Data Entry-V'!E22))-1.5)-DAY('Data Entry-V'!E22)+1)</f>
        <v>2461051.9387615742</v>
      </c>
      <c r="B5" s="28">
        <f>6.6925-'Data Entry-V'!$G$9+(24*((1.0027379093*(A5-2447892.5))-FLOOR(1.0027379093*(A5-2447892.5),1)))-(ROUNDDOWN(((6.6925-'Data Entry-V'!$G$9+(24*((1.0027379093*(A5-2447892.5))-FLOOR(1.0027379093*(A5-2447892.5),1))))/24),0)*24)</f>
        <v>5.5582833265581755</v>
      </c>
      <c r="C5" s="28">
        <f>DEGREES(ASIN((SIN(RADIANS('Data Entry-V'!$F$8))*SIN(RADIANS('Data Entry-V'!C22)))+(COS(RADIANS('Data Entry-V'!$F$8))*COS(RADIANS('Data Entry-V'!C22))*COS(RADIANS((B5-'Data Entry-V'!B22)*15)))))</f>
        <v>35.916732248136043</v>
      </c>
      <c r="D5" s="28">
        <f>1/(COS(2*ATAN(1)-(C5*(ATAN(1)/45))))</f>
        <v>1.7047133383738813</v>
      </c>
    </row>
    <row r="6" spans="1:4">
      <c r="A6" s="28">
        <f>IF('Data Entry-V'!F24&gt;0.5,('Data Entry-V'!E24+2415019)+((((HOUR('Data Entry-V'!F24)*60)+MINUTE('Data Entry-V'!F24))/1440+SECOND('Data Entry-V'!F24)/86400+DAY('Data Entry-V'!E24))-0.5)-DAY('Data Entry-V'!E24),('Data Entry-V'!E24+2415019)+((((HOUR('Data Entry-V'!F24)*60)+MINUTE('Data Entry-V'!F24))/1440+SECOND('Data Entry-V'!F24)/86400+DAY('Data Entry-V'!E24))-1.5)-DAY('Data Entry-V'!E24)+1)</f>
        <v>2461051.9405555557</v>
      </c>
      <c r="B6" s="28">
        <f>6.6925-'Data Entry-V'!$G$9+(24*((1.0027379093*(A6-2447892.5))-FLOOR(1.0027379093*(A6-2447892.5),1)))-(ROUNDDOWN(((6.6925-'Data Entry-V'!$G$9+(24*((1.0027379093*(A6-2447892.5))-FLOOR(1.0027379093*(A6-2447892.5),1))))/24),0)*24)</f>
        <v>5.6014567654857998</v>
      </c>
      <c r="C6" s="28">
        <f>DEGREES(ASIN((SIN(RADIANS('Data Entry-V'!$F$8))*SIN(RADIANS('Data Entry-V'!C24)))+(COS(RADIANS('Data Entry-V'!$F$8))*COS(RADIANS('Data Entry-V'!C24))*COS(RADIANS((B6-'Data Entry-V'!B24)*15)))))</f>
        <v>29.516114054267572</v>
      </c>
      <c r="D6" s="28">
        <f>1/(COS(2*ATAN(1)-(C6*(ATAN(1)/45))))</f>
        <v>2.0297631381260985</v>
      </c>
    </row>
  </sheetData>
  <sheetProtection sheet="1" objects="1" scenarios="1" selectLockedCells="1" selectUnlockedCells="1"/>
  <autoFilter ref="A1:D6" xr:uid="{3A9AD247-3AAE-4644-9740-BD251B4F52CE}"/>
  <pageMargins left="0.7" right="0.7" top="0.75" bottom="0.75"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998F-F919-42C8-A167-57310307B4C6}">
  <dimension ref="A1:D6"/>
  <sheetViews>
    <sheetView zoomScale="150" zoomScaleNormal="150" zoomScalePageLayoutView="150" workbookViewId="0">
      <selection activeCell="A7" sqref="A7"/>
    </sheetView>
  </sheetViews>
  <sheetFormatPr defaultRowHeight="12.75"/>
  <cols>
    <col min="1" max="1" width="15.7109375" customWidth="1"/>
    <col min="2" max="256" width="11.42578125" customWidth="1"/>
  </cols>
  <sheetData>
    <row r="1" spans="1:4" ht="15">
      <c r="A1" s="29" t="s">
        <v>45</v>
      </c>
      <c r="B1" s="29" t="s">
        <v>58</v>
      </c>
      <c r="C1" s="29" t="s">
        <v>67</v>
      </c>
      <c r="D1" s="29" t="s">
        <v>68</v>
      </c>
    </row>
    <row r="2" spans="1:4">
      <c r="A2" s="28">
        <f>IF('Data Entry-B'!F16&gt;0.5,('Data Entry-B'!E16+2415019)+((((HOUR('Data Entry-B'!F16)*60)+MINUTE('Data Entry-B'!F16))/1440+SECOND('Data Entry-B'!F16)/86400+DAY('Data Entry-B'!E16))-0.5)-DAY('Data Entry-B'!E16),('Data Entry-B'!E16+2415019)+((((HOUR('Data Entry-B'!F16)*60)+MINUTE('Data Entry-B'!F16))/1440+SECOND('Data Entry-B'!F16)/86400+DAY('Data Entry-B'!E16))-1.5)-DAY('Data Entry-B'!E16)+1)</f>
        <v>2461051.5</v>
      </c>
      <c r="B2" s="28">
        <f>6.6925-'Data Entry-V'!$G$9+(24*((1.0027379093*(A2-2447892.5))-FLOOR(1.0027379093*(A2-2447892.5),1)))-(ROUNDDOWN(((6.6925-'Data Entry-V'!$G$9+(24*((1.0027379093*(A2-2447892.5))-FLOOR(1.0027379093*(A2-2447892.5),1))))/24),0)*24)</f>
        <v>18.999174599892449</v>
      </c>
      <c r="C2" s="28">
        <f>DEGREES(ASIN((SIN(RADIANS('Data Entry-V'!$F$8))*SIN(RADIANS('Data Entry-B'!C16)))+(COS(RADIANS('Data Entry-V'!$F$8))*COS(RADIANS('Data Entry-B'!C16))*COS(RADIANS((B2-'Data Entry-B'!B16)*15)))))</f>
        <v>-29.914393005328169</v>
      </c>
      <c r="D2" s="28">
        <f>1/(COS(2*ATAN(1)-(C2*(ATAN(1)/45))))</f>
        <v>-2.0051914683468826</v>
      </c>
    </row>
    <row r="3" spans="1:4">
      <c r="A3" s="28">
        <f>IF('Data Entry-B'!F18&gt;0.5,('Data Entry-B'!E18+2415019)+((((HOUR('Data Entry-B'!F18)*60)+MINUTE('Data Entry-B'!F18))/1440+SECOND('Data Entry-B'!F18)/86400+DAY('Data Entry-B'!E18))-0.5)-DAY('Data Entry-B'!E18),('Data Entry-B'!E18+2415019)+((((HOUR('Data Entry-B'!F18)*60)+MINUTE('Data Entry-B'!F18))/1440+SECOND('Data Entry-B'!F18)/86400+DAY('Data Entry-B'!E18))-1.5)-DAY('Data Entry-B'!E18)+1)</f>
        <v>2461051.5</v>
      </c>
      <c r="B3" s="28">
        <f>6.6925-'Data Entry-V'!$G$9+(24*((1.0027379093*(A3-2447892.5))-FLOOR(1.0027379093*(A3-2447892.5),1)))-(ROUNDDOWN(((6.6925-'Data Entry-V'!$G$9+(24*((1.0027379093*(A3-2447892.5))-FLOOR(1.0027379093*(A3-2447892.5),1))))/24),0)*24)</f>
        <v>18.999174599892449</v>
      </c>
      <c r="C3" s="28">
        <f>DEGREES(ASIN((SIN(RADIANS('Data Entry-V'!$F$8))*SIN(RADIANS('Data Entry-B'!C18)))+(COS(RADIANS('Data Entry-V'!$F$8))*COS(RADIANS('Data Entry-B'!C18))*COS(RADIANS((B3-'Data Entry-B'!B18)*15)))))</f>
        <v>-51.06257874826013</v>
      </c>
      <c r="D3" s="28">
        <f>1/(COS(2*ATAN(1)-(C3*(ATAN(1)/45))))</f>
        <v>-1.2856232630164106</v>
      </c>
    </row>
    <row r="4" spans="1:4">
      <c r="A4" s="28">
        <f>IF('Data Entry-B'!F20&gt;0.5,('Data Entry-B'!E20+2415019)+((((HOUR('Data Entry-B'!F20)*60)+MINUTE('Data Entry-B'!F20))/1440+SECOND('Data Entry-B'!F20)/86400+DAY('Data Entry-B'!E20))-0.5)-DAY('Data Entry-B'!E20),('Data Entry-B'!E20+2415019)+((((HOUR('Data Entry-B'!F20)*60)+MINUTE('Data Entry-B'!F20))/1440+SECOND('Data Entry-B'!F20)/86400+DAY('Data Entry-B'!E20))-1.5)-DAY('Data Entry-B'!E20)+1)</f>
        <v>2461051.5</v>
      </c>
      <c r="B4" s="28">
        <f>6.6925-'Data Entry-V'!$G$9+(24*((1.0027379093*(A4-2447892.5))-FLOOR(1.0027379093*(A4-2447892.5),1)))-(ROUNDDOWN(((6.6925-'Data Entry-V'!$G$9+(24*((1.0027379093*(A4-2447892.5))-FLOOR(1.0027379093*(A4-2447892.5),1))))/24),0)*24)</f>
        <v>18.999174599892449</v>
      </c>
      <c r="C4" s="28">
        <f>DEGREES(ASIN((SIN(RADIANS('Data Entry-V'!$F$8))*SIN(RADIANS('Data Entry-B'!C20)))+(COS(RADIANS('Data Entry-V'!$F$8))*COS(RADIANS('Data Entry-B'!C20))*COS(RADIANS((B4-'Data Entry-B'!B20)*15)))))</f>
        <v>-58.70265906655267</v>
      </c>
      <c r="D4" s="28">
        <f>1/(COS(2*ATAN(1)-(C4*(ATAN(1)/45))))</f>
        <v>-1.1702983797590307</v>
      </c>
    </row>
    <row r="5" spans="1:4">
      <c r="A5" s="28">
        <f>IF('Data Entry-B'!F22&gt;0.5,('Data Entry-B'!E22+2415019)+((((HOUR('Data Entry-B'!F22)*60)+MINUTE('Data Entry-B'!F22))/1440+SECOND('Data Entry-B'!F22)/86400+DAY('Data Entry-B'!E22))-0.5)-DAY('Data Entry-B'!E22),('Data Entry-B'!E22+2415019)+((((HOUR('Data Entry-B'!F22)*60)+MINUTE('Data Entry-B'!F22))/1440+SECOND('Data Entry-B'!F22)/86400+DAY('Data Entry-B'!E22))-1.5)-DAY('Data Entry-B'!E22)+1)</f>
        <v>2461051.5</v>
      </c>
      <c r="B5" s="28">
        <f>6.6925-'Data Entry-V'!$G$9+(24*((1.0027379093*(A5-2447892.5))-FLOOR(1.0027379093*(A5-2447892.5),1)))-(ROUNDDOWN(((6.6925-'Data Entry-V'!$G$9+(24*((1.0027379093*(A5-2447892.5))-FLOOR(1.0027379093*(A5-2447892.5),1))))/24),0)*24)</f>
        <v>18.999174599892449</v>
      </c>
      <c r="C5" s="28">
        <f>DEGREES(ASIN((SIN(RADIANS('Data Entry-V'!$F$8))*SIN(RADIANS('Data Entry-B'!C22)))+(COS(RADIANS('Data Entry-V'!$F$8))*COS(RADIANS('Data Entry-B'!C22))*COS(RADIANS((B5-'Data Entry-B'!B22)*15)))))</f>
        <v>-55.086608729150022</v>
      </c>
      <c r="D5" s="28">
        <f>1/(COS(2*ATAN(1)-(C5*(ATAN(1)/45))))</f>
        <v>-1.2194852318134382</v>
      </c>
    </row>
    <row r="6" spans="1:4">
      <c r="A6" s="28">
        <f>IF('Data Entry-B'!F24&gt;0.5,('Data Entry-B'!E24+2415019)+((((HOUR('Data Entry-B'!F24)*60)+MINUTE('Data Entry-B'!F24))/1440+SECOND('Data Entry-B'!F24)/86400+DAY('Data Entry-B'!E24))-0.5)-DAY('Data Entry-B'!E24),('Data Entry-B'!E24+2415019)+((((HOUR('Data Entry-B'!F24)*60)+MINUTE('Data Entry-B'!F24))/1440+SECOND('Data Entry-B'!F24)/86400+DAY('Data Entry-B'!E24))-1.5)-DAY('Data Entry-B'!E24)+1)</f>
        <v>2461051.5</v>
      </c>
      <c r="B6" s="28">
        <f>6.6925-'Data Entry-V'!$G$9+(24*((1.0027379093*(A6-2447892.5))-FLOOR(1.0027379093*(A6-2447892.5),1)))-(ROUNDDOWN(((6.6925-'Data Entry-V'!$G$9+(24*((1.0027379093*(A6-2447892.5))-FLOOR(1.0027379093*(A6-2447892.5),1))))/24),0)*24)</f>
        <v>18.999174599892449</v>
      </c>
      <c r="C6" s="28">
        <f>DEGREES(ASIN((SIN(RADIANS('Data Entry-V'!$F$8))*SIN(RADIANS('Data Entry-B'!C24)))+(COS(RADIANS('Data Entry-V'!$F$8))*COS(RADIANS('Data Entry-B'!C24))*COS(RADIANS((B6-'Data Entry-B'!B24)*15)))))</f>
        <v>-45.412379057067831</v>
      </c>
      <c r="D6" s="28">
        <f>1/(COS(2*ATAN(1)-(C6*(ATAN(1)/45))))</f>
        <v>-1.4041438720905763</v>
      </c>
    </row>
  </sheetData>
  <sheetProtection sheet="1" objects="1" scenarios="1" selectLockedCells="1" selectUnlockedCells="1"/>
  <pageMargins left="0.7" right="0.7" top="0.75" bottom="0.75"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D6C1-D85D-4DD2-9729-91177BCFB5FF}">
  <dimension ref="A1:A47"/>
  <sheetViews>
    <sheetView topLeftCell="A2" zoomScale="150" zoomScaleNormal="150" zoomScalePageLayoutView="150" workbookViewId="0">
      <selection activeCell="A15" sqref="A15"/>
    </sheetView>
  </sheetViews>
  <sheetFormatPr defaultColWidth="10.85546875" defaultRowHeight="15"/>
  <cols>
    <col min="1" max="1" width="99.85546875" style="22" customWidth="1"/>
    <col min="2" max="16384" width="10.85546875" style="22"/>
  </cols>
  <sheetData>
    <row r="1" spans="1:1">
      <c r="A1" s="27" t="s">
        <v>242</v>
      </c>
    </row>
    <row r="2" spans="1:1">
      <c r="A2" s="27"/>
    </row>
    <row r="3" spans="1:1" ht="15.75">
      <c r="A3" s="50" t="s">
        <v>243</v>
      </c>
    </row>
    <row r="4" spans="1:1" ht="45">
      <c r="A4" s="27" t="s">
        <v>244</v>
      </c>
    </row>
    <row r="5" spans="1:1" ht="45">
      <c r="A5" s="27" t="s">
        <v>245</v>
      </c>
    </row>
    <row r="6" spans="1:1" ht="30">
      <c r="A6" s="27" t="s">
        <v>246</v>
      </c>
    </row>
    <row r="7" spans="1:1">
      <c r="A7" s="27"/>
    </row>
    <row r="8" spans="1:1" ht="15.75">
      <c r="A8" s="50" t="s">
        <v>247</v>
      </c>
    </row>
    <row r="9" spans="1:1">
      <c r="A9" s="27" t="s">
        <v>248</v>
      </c>
    </row>
    <row r="10" spans="1:1" ht="45">
      <c r="A10" s="27" t="s">
        <v>249</v>
      </c>
    </row>
    <row r="11" spans="1:1" ht="60">
      <c r="A11" s="27" t="s">
        <v>250</v>
      </c>
    </row>
    <row r="12" spans="1:1">
      <c r="A12" s="27"/>
    </row>
    <row r="13" spans="1:1" ht="31.5">
      <c r="A13" s="50" t="s">
        <v>251</v>
      </c>
    </row>
    <row r="14" spans="1:1" ht="30">
      <c r="A14" s="27" t="s">
        <v>252</v>
      </c>
    </row>
    <row r="15" spans="1:1" ht="48.95" customHeight="1">
      <c r="A15" s="27" t="s">
        <v>253</v>
      </c>
    </row>
    <row r="16" spans="1:1" ht="45">
      <c r="A16" s="27" t="s">
        <v>254</v>
      </c>
    </row>
    <row r="17" spans="1:1">
      <c r="A17" s="27" t="s">
        <v>255</v>
      </c>
    </row>
    <row r="18" spans="1:1">
      <c r="A18" s="27"/>
    </row>
    <row r="19" spans="1:1">
      <c r="A19" s="49" t="s">
        <v>256</v>
      </c>
    </row>
    <row r="20" spans="1:1">
      <c r="A20" s="27"/>
    </row>
    <row r="21" spans="1:1">
      <c r="A21" s="27"/>
    </row>
    <row r="22" spans="1:1">
      <c r="A22" s="27"/>
    </row>
    <row r="23" spans="1:1">
      <c r="A23" s="27"/>
    </row>
    <row r="24" spans="1:1">
      <c r="A24" s="27"/>
    </row>
    <row r="25" spans="1:1">
      <c r="A25" s="27"/>
    </row>
    <row r="26" spans="1:1">
      <c r="A26" s="27"/>
    </row>
    <row r="27" spans="1:1">
      <c r="A27" s="27"/>
    </row>
    <row r="28" spans="1:1">
      <c r="A28" s="27"/>
    </row>
    <row r="29" spans="1:1">
      <c r="A29" s="27"/>
    </row>
    <row r="30" spans="1:1">
      <c r="A30" s="27"/>
    </row>
    <row r="31" spans="1:1">
      <c r="A31" s="27"/>
    </row>
    <row r="32" spans="1:1">
      <c r="A32" s="27"/>
    </row>
    <row r="33" spans="1:1">
      <c r="A33" s="27"/>
    </row>
    <row r="34" spans="1:1">
      <c r="A34" s="27"/>
    </row>
    <row r="35" spans="1:1">
      <c r="A35" s="27"/>
    </row>
    <row r="36" spans="1:1">
      <c r="A36" s="27"/>
    </row>
    <row r="37" spans="1:1">
      <c r="A37" s="27"/>
    </row>
    <row r="38" spans="1:1">
      <c r="A38" s="27"/>
    </row>
    <row r="39" spans="1:1">
      <c r="A39" s="27"/>
    </row>
    <row r="40" spans="1:1">
      <c r="A40" s="27"/>
    </row>
    <row r="41" spans="1:1">
      <c r="A41" s="27"/>
    </row>
    <row r="42" spans="1:1">
      <c r="A42" s="27"/>
    </row>
    <row r="43" spans="1:1">
      <c r="A43" s="27"/>
    </row>
    <row r="44" spans="1:1">
      <c r="A44" s="27"/>
    </row>
    <row r="47" spans="1:1">
      <c r="A47" s="23"/>
    </row>
  </sheetData>
  <sheetProtection sheet="1" objects="1" scenarios="1"/>
  <pageMargins left="0.7" right="0.7" top="0.75" bottom="0.75"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Camilleri</cp:lastModifiedBy>
  <cp:revision/>
  <dcterms:created xsi:type="dcterms:W3CDTF">2016-03-13T00:18:31Z</dcterms:created>
  <dcterms:modified xsi:type="dcterms:W3CDTF">2026-01-12T08:15:08Z</dcterms:modified>
  <cp:category/>
  <cp:contentStatus/>
</cp:coreProperties>
</file>